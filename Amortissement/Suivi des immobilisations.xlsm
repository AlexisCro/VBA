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lexi\OneDrive\Documents\VBA\Amortissement\"/>
    </mc:Choice>
  </mc:AlternateContent>
  <xr:revisionPtr revIDLastSave="0" documentId="13_ncr:1_{7CE73CEC-DB5D-4B60-9252-F9F67E8FBB3A}" xr6:coauthVersionLast="47" xr6:coauthVersionMax="47" xr10:uidLastSave="{00000000-0000-0000-0000-000000000000}"/>
  <bookViews>
    <workbookView xWindow="-5550" yWindow="-21600" windowWidth="19395" windowHeight="20985" tabRatio="608" firstSheet="30" activeTab="34" xr2:uid="{F5B65A3A-8DCB-4F01-9DA0-1AF306372755}"/>
  </bookViews>
  <sheets>
    <sheet name="Data" sheetId="1" r:id="rId1"/>
    <sheet name="C21200" sheetId="231" r:id="rId2"/>
    <sheet name="C40100" sheetId="232" r:id="rId3"/>
    <sheet name="C40101" sheetId="233" r:id="rId4"/>
    <sheet name="C40300" sheetId="234" r:id="rId5"/>
    <sheet name="C40400" sheetId="235" r:id="rId6"/>
    <sheet name="C40900" sheetId="236" r:id="rId7"/>
    <sheet name="C40901" sheetId="237" r:id="rId8"/>
    <sheet name="C41001" sheetId="238" r:id="rId9"/>
    <sheet name="C41003" sheetId="239" r:id="rId10"/>
    <sheet name="C30100" sheetId="240" r:id="rId11"/>
    <sheet name="C30101" sheetId="241" r:id="rId12"/>
    <sheet name="C30200" sheetId="242" r:id="rId13"/>
    <sheet name="C30201" sheetId="243" r:id="rId14"/>
    <sheet name="C30202" sheetId="244" r:id="rId15"/>
    <sheet name="C30203" sheetId="245" r:id="rId16"/>
    <sheet name="C30204" sheetId="246" r:id="rId17"/>
    <sheet name="C30205" sheetId="247" r:id="rId18"/>
    <sheet name="C30206" sheetId="248" r:id="rId19"/>
    <sheet name="C30300" sheetId="249" r:id="rId20"/>
    <sheet name="C30301" sheetId="250" r:id="rId21"/>
    <sheet name="C30302" sheetId="251" r:id="rId22"/>
    <sheet name="C30500" sheetId="252" r:id="rId23"/>
    <sheet name="C30501" sheetId="253" r:id="rId24"/>
    <sheet name="C31100" sheetId="254" r:id="rId25"/>
    <sheet name="C40102" sheetId="255" r:id="rId26"/>
    <sheet name="C41100" sheetId="256" r:id="rId27"/>
    <sheet name="C21201" sheetId="257" r:id="rId28"/>
    <sheet name="C30400" sheetId="258" r:id="rId29"/>
    <sheet name="C30502" sheetId="259" r:id="rId30"/>
    <sheet name="C30700" sheetId="260" r:id="rId31"/>
    <sheet name="C30900" sheetId="261" r:id="rId32"/>
    <sheet name="C31101" sheetId="262" r:id="rId33"/>
    <sheet name="C40500" sheetId="263" r:id="rId34"/>
    <sheet name="C40501" sheetId="264" r:id="rId35"/>
    <sheet name="C40700" sheetId="265" r:id="rId36"/>
    <sheet name="C40701" sheetId="266" r:id="rId37"/>
    <sheet name="C40702" sheetId="267" r:id="rId38"/>
    <sheet name="C41002" sheetId="268" r:id="rId39"/>
  </sheets>
  <definedNames>
    <definedName name="_xleta.YEA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1" l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tc={B725717E-DE74-487A-A633-94C230DBBC9A}</author>
    <author>tc={0E3B47C7-17C1-404C-8964-51F4ECC4D0F8}</author>
    <author>tc={60D33640-38D0-4792-A49A-73B8728082A0}</author>
    <author>tc={5D6DE34C-287C-43A0-8CC9-10198654FA30}</author>
    <author>tc={A57179E3-28E9-4719-9E8E-845E496F7B44}</author>
    <author>tc={A9CA8FEB-0931-4D4E-82F7-AE5BF468FC58}</author>
  </authors>
  <commentList>
    <comment ref="B5" authorId="0" shapeId="0" xr:uid="{B725717E-DE74-487A-A633-94C230DBBC9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Non retrouvé dans fichier PDI</t>
      </text>
    </comment>
    <comment ref="B6" authorId="1" shapeId="0" xr:uid="{0E3B47C7-17C1-404C-8964-51F4ECC4D0F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Ecart sur montant HT avec fichier PDI</t>
      </text>
    </comment>
    <comment ref="B7" authorId="2" shapeId="0" xr:uid="{60D33640-38D0-4792-A49A-73B8728082A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Non retrouvé dans fichier PDI</t>
      </text>
    </comment>
    <comment ref="B8" authorId="3" shapeId="0" xr:uid="{5D6DE34C-287C-43A0-8CC9-10198654FA30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Montant HT différent sur fichier de PDI</t>
      </text>
    </comment>
    <comment ref="B9" authorId="4" shapeId="0" xr:uid="{A57179E3-28E9-4719-9E8E-845E496F7B4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Montant HT différent sur fichier PDI</t>
      </text>
    </comment>
    <comment ref="B10" authorId="5" shapeId="0" xr:uid="{A9CA8FEB-0931-4D4E-82F7-AE5BF468FC5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Montant HT différent sur fichier de PDI</t>
      </text>
    </comment>
  </commentList>
</comments>
</file>

<file path=xl/sharedStrings.xml><?xml version="1.0" encoding="utf-8"?>
<sst xmlns="http://schemas.openxmlformats.org/spreadsheetml/2006/main" count="908" uniqueCount="98">
  <si>
    <t>Date de mise en service</t>
  </si>
  <si>
    <t>Méthode d'amortissement</t>
  </si>
  <si>
    <t>Taux</t>
  </si>
  <si>
    <t>Date de fin d'amortissement</t>
  </si>
  <si>
    <t>C21200</t>
  </si>
  <si>
    <t>C40100</t>
  </si>
  <si>
    <t>C40101</t>
  </si>
  <si>
    <t>C40300</t>
  </si>
  <si>
    <t>C40400</t>
  </si>
  <si>
    <t>C40900</t>
  </si>
  <si>
    <t>C40901</t>
  </si>
  <si>
    <t>C41001</t>
  </si>
  <si>
    <t>C41003</t>
  </si>
  <si>
    <t>C30100</t>
  </si>
  <si>
    <t>C30101</t>
  </si>
  <si>
    <t>C30200</t>
  </si>
  <si>
    <t>C30201</t>
  </si>
  <si>
    <t>C30202</t>
  </si>
  <si>
    <t>C30203</t>
  </si>
  <si>
    <t>C30204</t>
  </si>
  <si>
    <t>C30205</t>
  </si>
  <si>
    <t>C30206</t>
  </si>
  <si>
    <t>C30300</t>
  </si>
  <si>
    <t>C30301</t>
  </si>
  <si>
    <t>C30302</t>
  </si>
  <si>
    <t>C30500</t>
  </si>
  <si>
    <t>C30501</t>
  </si>
  <si>
    <t>C31100</t>
  </si>
  <si>
    <t>C40102</t>
  </si>
  <si>
    <t>C41100</t>
  </si>
  <si>
    <t>C21201</t>
  </si>
  <si>
    <t>C30400</t>
  </si>
  <si>
    <t>C30502</t>
  </si>
  <si>
    <t>C30700</t>
  </si>
  <si>
    <t>C30900</t>
  </si>
  <si>
    <t>C31101</t>
  </si>
  <si>
    <t>C40500</t>
  </si>
  <si>
    <t>C40501</t>
  </si>
  <si>
    <t>C40700</t>
  </si>
  <si>
    <t>C40701</t>
  </si>
  <si>
    <t>C40702</t>
  </si>
  <si>
    <t>C41002</t>
  </si>
  <si>
    <t>Linéaire</t>
  </si>
  <si>
    <t>Elytec</t>
  </si>
  <si>
    <t>Sat'Video</t>
  </si>
  <si>
    <t>Fischer Scientific</t>
  </si>
  <si>
    <t>Manutan</t>
  </si>
  <si>
    <t>Nom de l'immobilisation</t>
  </si>
  <si>
    <t>Valeur achat</t>
  </si>
  <si>
    <t>Durée d'amortissement (en années)</t>
  </si>
  <si>
    <t xml:space="preserve">Numéro </t>
  </si>
  <si>
    <t xml:space="preserve">Date d'achat </t>
  </si>
  <si>
    <t>Nom du fournisseur</t>
  </si>
  <si>
    <t>Zone</t>
  </si>
  <si>
    <t xml:space="preserve">Xbline </t>
  </si>
  <si>
    <t>Net Celer</t>
  </si>
  <si>
    <t>3D Process</t>
  </si>
  <si>
    <t>Elcowa</t>
  </si>
  <si>
    <t>Ametek</t>
  </si>
  <si>
    <t>Dubuisson</t>
  </si>
  <si>
    <t>WasLight</t>
  </si>
  <si>
    <t>Dubost Recorbet</t>
  </si>
  <si>
    <t>APS</t>
  </si>
  <si>
    <t>Rhône Alpes Labo</t>
  </si>
  <si>
    <t>CEPI</t>
  </si>
  <si>
    <t>Lyreco</t>
  </si>
  <si>
    <t>Amazon</t>
  </si>
  <si>
    <t>Serveur Windows</t>
  </si>
  <si>
    <t>Projet IV tracer</t>
  </si>
  <si>
    <t>Machine à glace</t>
  </si>
  <si>
    <t>Dépoussiereur</t>
  </si>
  <si>
    <t>Réservoir machine</t>
  </si>
  <si>
    <t>Machine essai</t>
  </si>
  <si>
    <t>Filtre à poche</t>
  </si>
  <si>
    <t>Signalétique</t>
  </si>
  <si>
    <t>Travaux plomberie</t>
  </si>
  <si>
    <t>Pose ligne RJ45</t>
  </si>
  <si>
    <t>Remplacement BAES</t>
  </si>
  <si>
    <t>Plan evacuation</t>
  </si>
  <si>
    <t>Charriot inox</t>
  </si>
  <si>
    <t>Armoire réfrigérée</t>
  </si>
  <si>
    <t>Réparation cloques</t>
  </si>
  <si>
    <t>Firewall appliance</t>
  </si>
  <si>
    <t>Lenovo tab P11 plus</t>
  </si>
  <si>
    <t>Bornes wifi</t>
  </si>
  <si>
    <t>NAS</t>
  </si>
  <si>
    <t>Imprimante laser</t>
  </si>
  <si>
    <t>Dell latitude PDI</t>
  </si>
  <si>
    <t>Dell latitude 3540</t>
  </si>
  <si>
    <t>Dell latitude 5540</t>
  </si>
  <si>
    <t>Dell latitude 5340</t>
  </si>
  <si>
    <t>Uperfect Delta</t>
  </si>
  <si>
    <t>PC portable</t>
  </si>
  <si>
    <t>Numéro de facture</t>
  </si>
  <si>
    <t>Année</t>
  </si>
  <si>
    <t>Amortissement annuel</t>
  </si>
  <si>
    <t>Cumul amortissement</t>
  </si>
  <si>
    <t>Valeur net comptable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</si>
</sst>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.00\ &quot;€&quot;"/>
    <numFmt numFmtId="165" formatCode="dd/mm/yyyy"/>
    <numFmt numFmtId="166" formatCode="#.##\ \€"/>
    <numFmt numFmtId="167" formatCode="#.##00\ \€"/>
  </numFmts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C0E6F5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0" fillId="0" borderId="0" xfId="0" applyAlignment="1">
      <alignment vertical="center" wrapText="1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14" fontId="0" fillId="0" borderId="1" xfId="0" applyNumberFormat="1" applyBorder="1" applyAlignment="1">
      <alignment horizontal="left" vertical="center" wrapText="1"/>
    </xf>
    <xf numFmtId="164" fontId="0" fillId="0" borderId="1" xfId="0" applyNumberFormat="1" applyBorder="1" applyAlignment="1">
      <alignment horizontal="left" vertical="center" wrapText="1"/>
    </xf>
    <xf numFmtId="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7" fontId="0" fillId="0" borderId="0" xfId="0" applyNumberFormat="1"/>
    <xf numFmtId="0" fontId="0" fillId="2" borderId="0" xfId="0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0" Type="http://schemas.openxmlformats.org/officeDocument/2006/relationships/worksheet" Target="worksheets/sheet20.xml"/><Relationship Id="rId41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579120</xdr:colOff>
          <xdr:row>1</xdr:row>
          <xdr:rowOff>30480</xdr:rowOff>
        </xdr:from>
        <xdr:to>
          <xdr:col>15</xdr:col>
          <xdr:colOff>91440</xdr:colOff>
          <xdr:row>4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571500</xdr:colOff>
          <xdr:row>5</xdr:row>
          <xdr:rowOff>129540</xdr:rowOff>
        </xdr:from>
        <xdr:to>
          <xdr:col>15</xdr:col>
          <xdr:colOff>121920</xdr:colOff>
          <xdr:row>8</xdr:row>
          <xdr:rowOff>99060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Aptos Narrow"/>
                </a:rPr>
                <a:t>Delete Tab except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anny Migné" id="{C705F14A-F3E8-4224-AEAD-3D542D81CF37}" userId="S::fmigne@dilon.com::70b69eb5-0282-4762-92c9-d0b796fb093e" providerId="AD"/>
</personList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5-01-15T15:06:27.90" personId="{C705F14A-F3E8-4224-AEAD-3D542D81CF37}" id="{B725717E-DE74-487A-A633-94C230DBBC9A}">
    <text>Non retrouvé dans fichier PDI</text>
  </threadedComment>
  <threadedComment ref="B6" dT="2025-01-15T15:16:46.18" personId="{C705F14A-F3E8-4224-AEAD-3D542D81CF37}" id="{0E3B47C7-17C1-404C-8964-51F4ECC4D0F8}">
    <text>Ecart sur montant HT avec fichier PDI</text>
  </threadedComment>
  <threadedComment ref="B7" dT="2025-01-15T15:06:27.90" personId="{C705F14A-F3E8-4224-AEAD-3D542D81CF37}" id="{60D33640-38D0-4792-A49A-73B8728082A0}">
    <text>Non retrouvé dans fichier PDI</text>
  </threadedComment>
  <threadedComment ref="B8" dT="2025-01-15T15:40:47.12" personId="{C705F14A-F3E8-4224-AEAD-3D542D81CF37}" id="{5D6DE34C-287C-43A0-8CC9-10198654FA30}">
    <text>Montant HT différent sur fichier de PDI</text>
  </threadedComment>
  <threadedComment ref="B9" dT="2025-01-15T15:39:40.83" personId="{C705F14A-F3E8-4224-AEAD-3D542D81CF37}" id="{A57179E3-28E9-4719-9E8E-845E496F7B44}">
    <text>Montant HT différent sur fichier PDI</text>
  </threadedComment>
  <threadedComment ref="B10" dT="2025-01-15T15:40:54.03" personId="{C705F14A-F3E8-4224-AEAD-3D542D81CF37}" id="{A9CA8FEB-0931-4D4E-82F7-AE5BF468FC58}">
    <text>Montant HT différent sur fichier de PDI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E3AF2-AC95-4DA3-9F78-D22C13183D86}">
  <sheetPr codeName="Feuil1"/>
  <dimension ref="A1:N39"/>
  <sheetViews>
    <sheetView showGridLines="0" topLeftCell="C1" zoomScale="86" workbookViewId="0">
      <selection activeCell="M12" sqref="M12"/>
    </sheetView>
  </sheetViews>
  <sheetFormatPr baseColWidth="10" defaultRowHeight="14.4" x14ac:dyDescent="0.3"/>
  <cols>
    <col min="1" max="1" width="14.88671875" bestFit="1" customWidth="1"/>
    <col min="2" max="2" width="14.88671875" customWidth="1"/>
    <col min="3" max="3" width="31.33203125" bestFit="1" customWidth="1"/>
    <col min="4" max="4" width="31.33203125" customWidth="1"/>
    <col min="5" max="5" width="12.6640625" customWidth="1"/>
    <col min="6" max="6" width="16.6640625" style="1" bestFit="1" customWidth="1"/>
    <col min="7" max="7" width="21.109375" style="1" bestFit="1" customWidth="1"/>
    <col min="8" max="8" width="21.109375" style="1" customWidth="1"/>
    <col min="9" max="9" width="11.5546875" style="6"/>
    <col min="10" max="10" width="15.33203125" style="5" customWidth="1"/>
    <col min="11" max="11" width="21.109375" style="5" customWidth="1"/>
    <col min="12" max="12" width="23.44140625" bestFit="1" customWidth="1"/>
  </cols>
  <sheetData>
    <row r="1" spans="1:14" s="3" customFormat="1" ht="43.8" thickBot="1" x14ac:dyDescent="0.35">
      <c r="A1" s="7" t="s">
        <v>50</v>
      </c>
      <c r="B1" s="7" t="s">
        <v>52</v>
      </c>
      <c r="C1" s="7" t="s">
        <v>47</v>
      </c>
      <c r="D1" s="7" t="s">
        <v>93</v>
      </c>
      <c r="E1" s="7" t="s">
        <v>53</v>
      </c>
      <c r="F1" s="9" t="s">
        <v>51</v>
      </c>
      <c r="G1" s="9" t="s">
        <v>0</v>
      </c>
      <c r="H1" s="9" t="s">
        <v>3</v>
      </c>
      <c r="I1" s="10" t="s">
        <v>48</v>
      </c>
      <c r="J1" s="8" t="s">
        <v>49</v>
      </c>
      <c r="K1" s="8" t="s">
        <v>2</v>
      </c>
      <c r="L1" s="7" t="s">
        <v>1</v>
      </c>
    </row>
    <row r="2" spans="1:14" ht="15" thickTop="1" x14ac:dyDescent="0.3">
      <c r="A2" t="s">
        <v>4</v>
      </c>
      <c r="B2" t="s">
        <v>54</v>
      </c>
      <c r="C2" t="s">
        <v>67</v>
      </c>
      <c r="F2" s="1">
        <v>44924</v>
      </c>
      <c r="G2" s="1">
        <v>44924</v>
      </c>
      <c r="H2" s="1">
        <f>DATE(YEAR(G2)+J2, MONTH(G2), DAY(G2))</f>
        <v>46020</v>
      </c>
      <c r="I2" s="6">
        <v>38563.56</v>
      </c>
      <c r="J2" s="11">
        <v>3</v>
      </c>
      <c r="K2" s="4">
        <f>100/J2</f>
        <v>33.333333333333336</v>
      </c>
      <c r="L2" t="s">
        <v>42</v>
      </c>
    </row>
    <row r="3" spans="1:14" x14ac:dyDescent="0.3">
      <c r="A3" t="s">
        <v>5</v>
      </c>
      <c r="B3" t="s">
        <v>55</v>
      </c>
      <c r="C3" t="s">
        <v>68</v>
      </c>
      <c r="F3" s="1">
        <v>45323</v>
      </c>
      <c r="G3" s="1">
        <v>45323</v>
      </c>
      <c r="H3" s="1">
        <f t="shared" ref="H3:H39" si="0">DATE(YEAR(G3)+J3, MONTH(G3), DAY(G3))</f>
        <v>48245</v>
      </c>
      <c r="I3" s="6">
        <v>16044</v>
      </c>
      <c r="J3" s="5">
        <v>8</v>
      </c>
      <c r="K3" s="4">
        <f t="shared" ref="K3:K39" si="1">100/J3</f>
        <v>12.5</v>
      </c>
      <c r="L3" t="s">
        <v>42</v>
      </c>
    </row>
    <row r="4" spans="1:14" x14ac:dyDescent="0.3">
      <c r="A4" t="s">
        <v>6</v>
      </c>
      <c r="B4" t="s">
        <v>54</v>
      </c>
      <c r="C4" t="s">
        <v>68</v>
      </c>
      <c r="F4" s="1">
        <v>45323</v>
      </c>
      <c r="G4" s="1">
        <v>45323</v>
      </c>
      <c r="H4" s="1">
        <f t="shared" si="0"/>
        <v>48245</v>
      </c>
      <c r="I4" s="6">
        <v>1400</v>
      </c>
      <c r="J4" s="5">
        <v>8</v>
      </c>
      <c r="K4" s="4">
        <f t="shared" si="1"/>
        <v>12.5</v>
      </c>
      <c r="L4" t="s">
        <v>42</v>
      </c>
      <c r="N4" s="2"/>
    </row>
    <row r="5" spans="1:14" x14ac:dyDescent="0.3">
      <c r="A5" t="s">
        <v>7</v>
      </c>
      <c r="B5" t="s">
        <v>56</v>
      </c>
      <c r="C5" t="s">
        <v>69</v>
      </c>
      <c r="F5" s="1">
        <v>45370</v>
      </c>
      <c r="G5" s="1">
        <v>45370</v>
      </c>
      <c r="H5" s="1">
        <f t="shared" si="0"/>
        <v>49022</v>
      </c>
      <c r="I5" s="6">
        <v>14050</v>
      </c>
      <c r="J5" s="5">
        <v>10</v>
      </c>
      <c r="K5" s="4">
        <f t="shared" si="1"/>
        <v>10</v>
      </c>
      <c r="L5" t="s">
        <v>42</v>
      </c>
    </row>
    <row r="6" spans="1:14" x14ac:dyDescent="0.3">
      <c r="A6" t="s">
        <v>8</v>
      </c>
      <c r="B6" t="s">
        <v>57</v>
      </c>
      <c r="C6" t="s">
        <v>70</v>
      </c>
      <c r="F6" s="1">
        <v>45391</v>
      </c>
      <c r="G6" s="1">
        <v>45658</v>
      </c>
      <c r="H6" s="1">
        <f t="shared" si="0"/>
        <v>49310</v>
      </c>
      <c r="I6" s="6">
        <v>11975.21</v>
      </c>
      <c r="J6" s="5">
        <v>10</v>
      </c>
      <c r="K6" s="4">
        <f t="shared" si="1"/>
        <v>10</v>
      </c>
      <c r="L6" t="s">
        <v>42</v>
      </c>
    </row>
    <row r="7" spans="1:14" x14ac:dyDescent="0.3">
      <c r="A7" t="s">
        <v>9</v>
      </c>
      <c r="B7" t="s">
        <v>56</v>
      </c>
      <c r="C7" t="s">
        <v>71</v>
      </c>
      <c r="F7" s="1">
        <v>45547</v>
      </c>
      <c r="G7" s="1">
        <v>45641</v>
      </c>
      <c r="H7" s="1">
        <f t="shared" si="0"/>
        <v>49293</v>
      </c>
      <c r="I7" s="6">
        <v>13860</v>
      </c>
      <c r="J7" s="5">
        <v>10</v>
      </c>
      <c r="K7" s="4">
        <f t="shared" si="1"/>
        <v>10</v>
      </c>
      <c r="L7" t="s">
        <v>42</v>
      </c>
    </row>
    <row r="8" spans="1:14" x14ac:dyDescent="0.3">
      <c r="A8" t="s">
        <v>10</v>
      </c>
      <c r="B8" t="s">
        <v>58</v>
      </c>
      <c r="C8" t="s">
        <v>72</v>
      </c>
      <c r="F8" s="1">
        <v>45558</v>
      </c>
      <c r="G8" s="1">
        <v>45609</v>
      </c>
      <c r="H8" s="1">
        <f t="shared" si="0"/>
        <v>49261</v>
      </c>
      <c r="I8" s="6">
        <v>21878.12</v>
      </c>
      <c r="J8" s="5">
        <v>10</v>
      </c>
      <c r="K8" s="4">
        <f t="shared" si="1"/>
        <v>10</v>
      </c>
      <c r="L8" t="s">
        <v>42</v>
      </c>
    </row>
    <row r="9" spans="1:14" x14ac:dyDescent="0.3">
      <c r="A9" t="s">
        <v>11</v>
      </c>
      <c r="B9" t="s">
        <v>59</v>
      </c>
      <c r="C9" t="s">
        <v>73</v>
      </c>
      <c r="F9" s="1">
        <v>45581</v>
      </c>
      <c r="G9" s="1">
        <v>45658</v>
      </c>
      <c r="H9" s="1">
        <f t="shared" si="0"/>
        <v>47484</v>
      </c>
      <c r="I9" s="6">
        <v>1534.9</v>
      </c>
      <c r="J9" s="5">
        <v>5</v>
      </c>
      <c r="K9" s="4">
        <f t="shared" si="1"/>
        <v>20</v>
      </c>
      <c r="L9" t="s">
        <v>42</v>
      </c>
    </row>
    <row r="10" spans="1:14" x14ac:dyDescent="0.3">
      <c r="A10" t="s">
        <v>12</v>
      </c>
      <c r="B10" t="s">
        <v>58</v>
      </c>
      <c r="C10" t="s">
        <v>72</v>
      </c>
      <c r="F10" s="1">
        <v>45593</v>
      </c>
      <c r="G10" s="1">
        <v>45609</v>
      </c>
      <c r="H10" s="1">
        <f t="shared" si="0"/>
        <v>49261</v>
      </c>
      <c r="I10" s="6">
        <v>6039</v>
      </c>
      <c r="J10" s="5">
        <v>10</v>
      </c>
      <c r="K10" s="4">
        <f t="shared" si="1"/>
        <v>10</v>
      </c>
      <c r="L10" t="s">
        <v>42</v>
      </c>
    </row>
    <row r="11" spans="1:14" x14ac:dyDescent="0.3">
      <c r="A11" t="s">
        <v>13</v>
      </c>
      <c r="B11" t="s">
        <v>43</v>
      </c>
      <c r="F11" s="1">
        <v>44943</v>
      </c>
      <c r="G11" s="1">
        <v>44943</v>
      </c>
      <c r="H11" s="1">
        <f t="shared" si="0"/>
        <v>47865</v>
      </c>
      <c r="I11" s="6">
        <v>14575.18</v>
      </c>
      <c r="J11" s="5">
        <v>8</v>
      </c>
      <c r="K11" s="4">
        <f t="shared" si="1"/>
        <v>12.5</v>
      </c>
      <c r="L11" t="s">
        <v>42</v>
      </c>
    </row>
    <row r="12" spans="1:14" x14ac:dyDescent="0.3">
      <c r="A12" t="s">
        <v>14</v>
      </c>
      <c r="B12" t="s">
        <v>60</v>
      </c>
      <c r="C12" t="s">
        <v>74</v>
      </c>
      <c r="F12" s="1">
        <v>44943</v>
      </c>
      <c r="G12" s="1">
        <v>44943</v>
      </c>
      <c r="H12" s="1">
        <f t="shared" si="0"/>
        <v>46769</v>
      </c>
      <c r="I12" s="6">
        <v>1853.37</v>
      </c>
      <c r="J12" s="5">
        <v>5</v>
      </c>
      <c r="K12" s="4">
        <f t="shared" si="1"/>
        <v>20</v>
      </c>
      <c r="L12" t="s">
        <v>42</v>
      </c>
    </row>
    <row r="13" spans="1:14" x14ac:dyDescent="0.3">
      <c r="A13" t="s">
        <v>15</v>
      </c>
      <c r="B13" t="s">
        <v>61</v>
      </c>
      <c r="C13" t="s">
        <v>75</v>
      </c>
      <c r="F13" s="1">
        <v>44966</v>
      </c>
      <c r="G13" s="1">
        <v>44966</v>
      </c>
      <c r="H13" s="1">
        <f t="shared" si="0"/>
        <v>46792</v>
      </c>
      <c r="I13" s="6">
        <v>975</v>
      </c>
      <c r="J13" s="5">
        <v>5</v>
      </c>
      <c r="K13" s="4">
        <f t="shared" si="1"/>
        <v>20</v>
      </c>
      <c r="L13" t="s">
        <v>42</v>
      </c>
    </row>
    <row r="14" spans="1:14" x14ac:dyDescent="0.3">
      <c r="A14" t="s">
        <v>16</v>
      </c>
      <c r="B14" t="s">
        <v>61</v>
      </c>
      <c r="C14" t="s">
        <v>75</v>
      </c>
      <c r="F14" s="1">
        <v>44984</v>
      </c>
      <c r="G14" s="1">
        <v>44984</v>
      </c>
      <c r="H14" s="1">
        <f t="shared" si="0"/>
        <v>46810</v>
      </c>
      <c r="I14" s="6">
        <v>1541.25</v>
      </c>
      <c r="J14" s="5">
        <v>5</v>
      </c>
      <c r="K14" s="4">
        <f t="shared" si="1"/>
        <v>20</v>
      </c>
      <c r="L14" t="s">
        <v>42</v>
      </c>
    </row>
    <row r="15" spans="1:14" x14ac:dyDescent="0.3">
      <c r="A15" t="s">
        <v>17</v>
      </c>
      <c r="B15" t="s">
        <v>43</v>
      </c>
      <c r="C15" t="s">
        <v>76</v>
      </c>
      <c r="F15" s="1">
        <v>44967</v>
      </c>
      <c r="G15" s="1">
        <v>44967</v>
      </c>
      <c r="H15" s="1">
        <f t="shared" si="0"/>
        <v>47889</v>
      </c>
      <c r="I15" s="6">
        <v>671.67</v>
      </c>
      <c r="J15" s="5">
        <v>8</v>
      </c>
      <c r="K15" s="4">
        <f t="shared" si="1"/>
        <v>12.5</v>
      </c>
      <c r="L15" t="s">
        <v>42</v>
      </c>
    </row>
    <row r="16" spans="1:14" x14ac:dyDescent="0.3">
      <c r="A16" t="s">
        <v>18</v>
      </c>
      <c r="B16" t="s">
        <v>43</v>
      </c>
      <c r="F16" s="1">
        <v>44967</v>
      </c>
      <c r="G16" s="1">
        <v>44967</v>
      </c>
      <c r="H16" s="1">
        <f t="shared" si="0"/>
        <v>47889</v>
      </c>
      <c r="I16" s="6">
        <v>482.52</v>
      </c>
      <c r="J16" s="5">
        <v>8</v>
      </c>
      <c r="K16" s="4">
        <f t="shared" si="1"/>
        <v>12.5</v>
      </c>
      <c r="L16" t="s">
        <v>42</v>
      </c>
    </row>
    <row r="17" spans="1:12" x14ac:dyDescent="0.3">
      <c r="A17" t="s">
        <v>19</v>
      </c>
      <c r="B17" t="s">
        <v>62</v>
      </c>
      <c r="C17" t="s">
        <v>77</v>
      </c>
      <c r="F17" s="1">
        <v>44970</v>
      </c>
      <c r="G17" s="1">
        <v>44970</v>
      </c>
      <c r="H17" s="1">
        <f t="shared" si="0"/>
        <v>46796</v>
      </c>
      <c r="I17" s="6">
        <v>1196.9000000000001</v>
      </c>
      <c r="J17" s="5">
        <v>5</v>
      </c>
      <c r="K17" s="4">
        <f t="shared" si="1"/>
        <v>20</v>
      </c>
      <c r="L17" t="s">
        <v>42</v>
      </c>
    </row>
    <row r="18" spans="1:12" x14ac:dyDescent="0.3">
      <c r="A18" t="s">
        <v>20</v>
      </c>
      <c r="B18" t="s">
        <v>62</v>
      </c>
      <c r="C18" t="s">
        <v>78</v>
      </c>
      <c r="F18" s="1">
        <v>44973</v>
      </c>
      <c r="G18" s="1">
        <v>44973</v>
      </c>
      <c r="H18" s="1">
        <f t="shared" si="0"/>
        <v>46799</v>
      </c>
      <c r="I18" s="6">
        <v>1954</v>
      </c>
      <c r="J18" s="5">
        <v>5</v>
      </c>
      <c r="K18" s="4">
        <f t="shared" si="1"/>
        <v>20</v>
      </c>
      <c r="L18" t="s">
        <v>42</v>
      </c>
    </row>
    <row r="19" spans="1:12" x14ac:dyDescent="0.3">
      <c r="A19" t="s">
        <v>21</v>
      </c>
      <c r="B19" t="s">
        <v>43</v>
      </c>
      <c r="F19" s="1">
        <v>44967</v>
      </c>
      <c r="G19" s="1">
        <v>44967</v>
      </c>
      <c r="H19" s="1">
        <f t="shared" si="0"/>
        <v>47889</v>
      </c>
      <c r="I19" s="6">
        <v>960</v>
      </c>
      <c r="J19" s="5">
        <v>8</v>
      </c>
      <c r="K19" s="4">
        <f t="shared" si="1"/>
        <v>12.5</v>
      </c>
      <c r="L19" t="s">
        <v>42</v>
      </c>
    </row>
    <row r="20" spans="1:12" x14ac:dyDescent="0.3">
      <c r="A20" t="s">
        <v>22</v>
      </c>
      <c r="B20" t="s">
        <v>44</v>
      </c>
      <c r="F20" s="1">
        <v>44986</v>
      </c>
      <c r="G20" s="1">
        <v>44986</v>
      </c>
      <c r="H20" s="1">
        <f t="shared" si="0"/>
        <v>46082</v>
      </c>
      <c r="I20" s="6">
        <v>2964.51</v>
      </c>
      <c r="J20" s="5">
        <v>3</v>
      </c>
      <c r="K20" s="4">
        <f t="shared" si="1"/>
        <v>33.333333333333336</v>
      </c>
      <c r="L20" t="s">
        <v>42</v>
      </c>
    </row>
    <row r="21" spans="1:12" x14ac:dyDescent="0.3">
      <c r="A21" t="s">
        <v>23</v>
      </c>
      <c r="B21" t="s">
        <v>63</v>
      </c>
      <c r="C21" t="s">
        <v>79</v>
      </c>
      <c r="F21" s="1">
        <v>44991</v>
      </c>
      <c r="G21" s="1">
        <v>44991</v>
      </c>
      <c r="H21" s="1">
        <f t="shared" si="0"/>
        <v>46087</v>
      </c>
      <c r="I21" s="6">
        <v>1663.68</v>
      </c>
      <c r="J21" s="5">
        <v>3</v>
      </c>
      <c r="K21" s="4">
        <f t="shared" si="1"/>
        <v>33.333333333333336</v>
      </c>
      <c r="L21" t="s">
        <v>42</v>
      </c>
    </row>
    <row r="22" spans="1:12" x14ac:dyDescent="0.3">
      <c r="A22" t="s">
        <v>24</v>
      </c>
      <c r="B22" t="s">
        <v>45</v>
      </c>
      <c r="F22" s="1">
        <v>44998</v>
      </c>
      <c r="G22" s="1">
        <v>44998</v>
      </c>
      <c r="H22" s="1">
        <f t="shared" si="0"/>
        <v>46094</v>
      </c>
      <c r="I22" s="6">
        <v>3010.79</v>
      </c>
      <c r="J22" s="5">
        <v>3</v>
      </c>
      <c r="K22" s="4">
        <f t="shared" si="1"/>
        <v>33.333333333333336</v>
      </c>
      <c r="L22" t="s">
        <v>42</v>
      </c>
    </row>
    <row r="23" spans="1:12" x14ac:dyDescent="0.3">
      <c r="A23" t="s">
        <v>25</v>
      </c>
      <c r="B23" t="s">
        <v>43</v>
      </c>
      <c r="F23" s="1">
        <v>45049</v>
      </c>
      <c r="G23" s="1">
        <v>45049</v>
      </c>
      <c r="H23" s="1">
        <f t="shared" si="0"/>
        <v>47971</v>
      </c>
      <c r="I23" s="6">
        <v>12937.39</v>
      </c>
      <c r="J23" s="5">
        <v>8</v>
      </c>
      <c r="K23" s="4">
        <f t="shared" si="1"/>
        <v>12.5</v>
      </c>
      <c r="L23" t="s">
        <v>42</v>
      </c>
    </row>
    <row r="24" spans="1:12" x14ac:dyDescent="0.3">
      <c r="A24" t="s">
        <v>26</v>
      </c>
      <c r="B24" t="s">
        <v>45</v>
      </c>
      <c r="C24" t="s">
        <v>80</v>
      </c>
      <c r="F24" s="1">
        <v>45068</v>
      </c>
      <c r="G24" s="1">
        <v>45068</v>
      </c>
      <c r="H24" s="1">
        <f t="shared" si="0"/>
        <v>46164</v>
      </c>
      <c r="I24" s="6">
        <v>1124.02</v>
      </c>
      <c r="J24" s="5">
        <v>3</v>
      </c>
      <c r="K24" s="4">
        <f t="shared" si="1"/>
        <v>33.333333333333336</v>
      </c>
      <c r="L24" t="s">
        <v>42</v>
      </c>
    </row>
    <row r="25" spans="1:12" x14ac:dyDescent="0.3">
      <c r="A25" t="s">
        <v>27</v>
      </c>
      <c r="B25" t="s">
        <v>64</v>
      </c>
      <c r="C25" t="s">
        <v>81</v>
      </c>
      <c r="F25" s="1">
        <v>45247</v>
      </c>
      <c r="G25" s="1">
        <v>45247</v>
      </c>
      <c r="H25" s="1">
        <f t="shared" si="0"/>
        <v>48169</v>
      </c>
      <c r="I25" s="6">
        <v>13088.3</v>
      </c>
      <c r="J25" s="5">
        <v>8</v>
      </c>
      <c r="K25" s="4">
        <f t="shared" si="1"/>
        <v>12.5</v>
      </c>
      <c r="L25" t="s">
        <v>42</v>
      </c>
    </row>
    <row r="26" spans="1:12" x14ac:dyDescent="0.3">
      <c r="A26" t="s">
        <v>28</v>
      </c>
      <c r="B26" t="s">
        <v>45</v>
      </c>
      <c r="F26" s="1">
        <v>45301</v>
      </c>
      <c r="G26" s="1">
        <v>45301</v>
      </c>
      <c r="H26" s="1">
        <f t="shared" si="0"/>
        <v>47128</v>
      </c>
      <c r="I26" s="6">
        <v>3778.42</v>
      </c>
      <c r="J26" s="5">
        <v>5</v>
      </c>
      <c r="K26" s="4">
        <f t="shared" si="1"/>
        <v>20</v>
      </c>
      <c r="L26" t="s">
        <v>42</v>
      </c>
    </row>
    <row r="27" spans="1:12" x14ac:dyDescent="0.3">
      <c r="A27" t="s">
        <v>29</v>
      </c>
      <c r="B27" t="s">
        <v>46</v>
      </c>
      <c r="F27" s="1">
        <v>45611</v>
      </c>
      <c r="G27" s="1">
        <v>45611</v>
      </c>
      <c r="H27" s="1">
        <f t="shared" si="0"/>
        <v>46706</v>
      </c>
      <c r="I27" s="6">
        <v>589</v>
      </c>
      <c r="J27" s="5">
        <v>3</v>
      </c>
      <c r="K27" s="4">
        <f t="shared" si="1"/>
        <v>33.333333333333336</v>
      </c>
      <c r="L27" t="s">
        <v>42</v>
      </c>
    </row>
    <row r="28" spans="1:12" x14ac:dyDescent="0.3">
      <c r="A28" t="s">
        <v>30</v>
      </c>
      <c r="B28" t="s">
        <v>54</v>
      </c>
      <c r="C28" t="s">
        <v>82</v>
      </c>
      <c r="F28" s="1">
        <v>44911</v>
      </c>
      <c r="G28" s="1">
        <v>44911</v>
      </c>
      <c r="H28" s="1">
        <f t="shared" si="0"/>
        <v>46007</v>
      </c>
      <c r="I28" s="6">
        <v>5473.75</v>
      </c>
      <c r="J28" s="5">
        <v>3</v>
      </c>
      <c r="K28" s="4">
        <f t="shared" si="1"/>
        <v>33.333333333333336</v>
      </c>
      <c r="L28" t="s">
        <v>42</v>
      </c>
    </row>
    <row r="29" spans="1:12" x14ac:dyDescent="0.3">
      <c r="A29" t="s">
        <v>31</v>
      </c>
      <c r="B29" t="s">
        <v>54</v>
      </c>
      <c r="C29" t="s">
        <v>83</v>
      </c>
      <c r="F29" s="1">
        <v>45021</v>
      </c>
      <c r="G29" s="1">
        <v>45021</v>
      </c>
      <c r="H29" s="1">
        <f t="shared" si="0"/>
        <v>46117</v>
      </c>
      <c r="I29" s="6">
        <v>662.5</v>
      </c>
      <c r="J29" s="5">
        <v>3</v>
      </c>
      <c r="K29" s="4">
        <f t="shared" si="1"/>
        <v>33.333333333333336</v>
      </c>
      <c r="L29" t="s">
        <v>42</v>
      </c>
    </row>
    <row r="30" spans="1:12" x14ac:dyDescent="0.3">
      <c r="A30" t="s">
        <v>32</v>
      </c>
      <c r="B30" t="s">
        <v>54</v>
      </c>
      <c r="C30" t="s">
        <v>84</v>
      </c>
      <c r="F30" s="1">
        <v>45055</v>
      </c>
      <c r="G30" s="1">
        <v>45055</v>
      </c>
      <c r="H30" s="1">
        <f t="shared" si="0"/>
        <v>46151</v>
      </c>
      <c r="I30" s="6">
        <v>3940</v>
      </c>
      <c r="J30" s="5">
        <v>3</v>
      </c>
      <c r="K30" s="4">
        <f t="shared" si="1"/>
        <v>33.333333333333336</v>
      </c>
      <c r="L30" t="s">
        <v>42</v>
      </c>
    </row>
    <row r="31" spans="1:12" x14ac:dyDescent="0.3">
      <c r="A31" t="s">
        <v>33</v>
      </c>
      <c r="B31" t="s">
        <v>54</v>
      </c>
      <c r="C31" t="s">
        <v>85</v>
      </c>
      <c r="F31" s="1">
        <v>45133</v>
      </c>
      <c r="G31" s="1">
        <v>45133</v>
      </c>
      <c r="H31" s="1">
        <f t="shared" si="0"/>
        <v>46229</v>
      </c>
      <c r="I31" s="6">
        <v>4247.74</v>
      </c>
      <c r="J31" s="5">
        <v>3</v>
      </c>
      <c r="K31" s="4">
        <f t="shared" si="1"/>
        <v>33.333333333333336</v>
      </c>
      <c r="L31" t="s">
        <v>42</v>
      </c>
    </row>
    <row r="32" spans="1:12" x14ac:dyDescent="0.3">
      <c r="A32" t="s">
        <v>34</v>
      </c>
      <c r="B32" t="s">
        <v>65</v>
      </c>
      <c r="C32" t="s">
        <v>86</v>
      </c>
      <c r="F32" s="1">
        <v>45184</v>
      </c>
      <c r="G32" s="1">
        <v>45184</v>
      </c>
      <c r="H32" s="1">
        <f t="shared" si="0"/>
        <v>46280</v>
      </c>
      <c r="I32" s="6">
        <v>1070.6600000000001</v>
      </c>
      <c r="J32" s="5">
        <v>3</v>
      </c>
      <c r="K32" s="4">
        <f t="shared" si="1"/>
        <v>33.333333333333336</v>
      </c>
      <c r="L32" t="s">
        <v>42</v>
      </c>
    </row>
    <row r="33" spans="1:12" x14ac:dyDescent="0.3">
      <c r="A33" t="s">
        <v>35</v>
      </c>
      <c r="B33" t="s">
        <v>54</v>
      </c>
      <c r="C33" t="s">
        <v>87</v>
      </c>
      <c r="F33" s="1">
        <v>45231</v>
      </c>
      <c r="G33" s="1">
        <v>45231</v>
      </c>
      <c r="H33" s="1">
        <f t="shared" si="0"/>
        <v>46327</v>
      </c>
      <c r="I33" s="6">
        <v>1668.75</v>
      </c>
      <c r="J33" s="5">
        <v>3</v>
      </c>
      <c r="K33" s="4">
        <f t="shared" si="1"/>
        <v>33.333333333333336</v>
      </c>
      <c r="L33" t="s">
        <v>42</v>
      </c>
    </row>
    <row r="34" spans="1:12" x14ac:dyDescent="0.3">
      <c r="A34" t="s">
        <v>36</v>
      </c>
      <c r="B34" t="s">
        <v>54</v>
      </c>
      <c r="C34" t="s">
        <v>88</v>
      </c>
      <c r="F34" s="1">
        <v>45414</v>
      </c>
      <c r="G34" s="1">
        <v>45414</v>
      </c>
      <c r="H34" s="1">
        <f t="shared" si="0"/>
        <v>46509</v>
      </c>
      <c r="I34" s="6">
        <v>1249.25</v>
      </c>
      <c r="J34" s="5">
        <v>3</v>
      </c>
      <c r="K34" s="4">
        <f t="shared" si="1"/>
        <v>33.333333333333336</v>
      </c>
      <c r="L34" t="s">
        <v>42</v>
      </c>
    </row>
    <row r="35" spans="1:12" x14ac:dyDescent="0.3">
      <c r="A35" t="s">
        <v>37</v>
      </c>
      <c r="B35" t="s">
        <v>54</v>
      </c>
      <c r="C35" t="s">
        <v>89</v>
      </c>
      <c r="F35" s="1">
        <v>45414</v>
      </c>
      <c r="G35" s="1">
        <v>45414</v>
      </c>
      <c r="H35" s="1">
        <f t="shared" si="0"/>
        <v>46509</v>
      </c>
      <c r="I35" s="6">
        <v>1202.5</v>
      </c>
      <c r="J35" s="5">
        <v>3</v>
      </c>
      <c r="K35" s="4">
        <f t="shared" si="1"/>
        <v>33.333333333333336</v>
      </c>
      <c r="L35" t="s">
        <v>42</v>
      </c>
    </row>
    <row r="36" spans="1:12" x14ac:dyDescent="0.3">
      <c r="A36" t="s">
        <v>38</v>
      </c>
      <c r="B36" t="s">
        <v>54</v>
      </c>
      <c r="C36" t="s">
        <v>90</v>
      </c>
      <c r="F36" s="1">
        <v>45481</v>
      </c>
      <c r="G36" s="1">
        <v>45481</v>
      </c>
      <c r="H36" s="1">
        <f t="shared" si="0"/>
        <v>46576</v>
      </c>
      <c r="I36" s="6">
        <v>1413.53</v>
      </c>
      <c r="J36" s="5">
        <v>3</v>
      </c>
      <c r="K36" s="4">
        <f t="shared" si="1"/>
        <v>33.333333333333336</v>
      </c>
      <c r="L36" t="s">
        <v>42</v>
      </c>
    </row>
    <row r="37" spans="1:12" x14ac:dyDescent="0.3">
      <c r="A37" t="s">
        <v>39</v>
      </c>
      <c r="B37" t="s">
        <v>54</v>
      </c>
      <c r="C37" t="s">
        <v>88</v>
      </c>
      <c r="F37" s="1">
        <v>45481</v>
      </c>
      <c r="G37" s="1">
        <v>45481</v>
      </c>
      <c r="H37" s="1">
        <f t="shared" si="0"/>
        <v>46576</v>
      </c>
      <c r="I37" s="6">
        <v>1056.75</v>
      </c>
      <c r="J37" s="5">
        <v>3</v>
      </c>
      <c r="K37" s="4">
        <f t="shared" si="1"/>
        <v>33.333333333333336</v>
      </c>
      <c r="L37" t="s">
        <v>42</v>
      </c>
    </row>
    <row r="38" spans="1:12" x14ac:dyDescent="0.3">
      <c r="A38" t="s">
        <v>40</v>
      </c>
      <c r="B38" t="s">
        <v>66</v>
      </c>
      <c r="C38" t="s">
        <v>91</v>
      </c>
      <c r="F38" s="1">
        <v>45491</v>
      </c>
      <c r="G38" s="1">
        <v>45491</v>
      </c>
      <c r="H38" s="1">
        <f t="shared" si="0"/>
        <v>46586</v>
      </c>
      <c r="I38" s="6">
        <v>633.32000000000005</v>
      </c>
      <c r="J38" s="5">
        <v>3</v>
      </c>
      <c r="K38" s="4">
        <f t="shared" si="1"/>
        <v>33.333333333333336</v>
      </c>
      <c r="L38" t="s">
        <v>42</v>
      </c>
    </row>
    <row r="39" spans="1:12" x14ac:dyDescent="0.3">
      <c r="A39" t="s">
        <v>41</v>
      </c>
      <c r="B39" t="s">
        <v>54</v>
      </c>
      <c r="C39" t="s">
        <v>92</v>
      </c>
      <c r="F39" s="1">
        <v>45574</v>
      </c>
      <c r="G39" s="1">
        <v>45574</v>
      </c>
      <c r="H39" s="1">
        <f t="shared" si="0"/>
        <v>46669</v>
      </c>
      <c r="I39" s="6">
        <v>1078.42</v>
      </c>
      <c r="J39" s="5">
        <v>3</v>
      </c>
      <c r="K39" s="4">
        <f t="shared" si="1"/>
        <v>33.333333333333336</v>
      </c>
      <c r="L39" t="s">
        <v>42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Feuil1.depreciation">
                <anchor moveWithCells="1" sizeWithCells="1">
                  <from>
                    <xdr:col>12</xdr:col>
                    <xdr:colOff>579120</xdr:colOff>
                    <xdr:row>1</xdr:row>
                    <xdr:rowOff>30480</xdr:rowOff>
                  </from>
                  <to>
                    <xdr:col>15</xdr:col>
                    <xdr:colOff>91440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Feuil1.DeleteTab">
                <anchor moveWithCells="1" sizeWithCells="1">
                  <from>
                    <xdr:col>12</xdr:col>
                    <xdr:colOff>571500</xdr:colOff>
                    <xdr:row>5</xdr:row>
                    <xdr:rowOff>129540</xdr:rowOff>
                  </from>
                  <to>
                    <xdr:col>15</xdr:col>
                    <xdr:colOff>121920</xdr:colOff>
                    <xdr:row>8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CF99E-67A7-467D-8553-A51CEF8ED0DE}">
  <sheetPr codeName="Feuil231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4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67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44924</v>
      </c>
    </row>
    <row r="7" spans="1:4" ht="28.8" x14ac:dyDescent="0.3">
      <c r="A7" s="12" t="s">
        <v>0</v>
      </c>
      <c r="B7" s="14">
        <v>44924</v>
      </c>
    </row>
    <row r="8" spans="1:4" ht="43.2" x14ac:dyDescent="0.3">
      <c r="A8" s="12" t="s">
        <v>3</v>
      </c>
      <c r="B8" s="14">
        <v>46020</v>
      </c>
    </row>
    <row r="9" spans="1:4" x14ac:dyDescent="0.3">
      <c r="A9" s="12" t="s">
        <v>48</v>
      </c>
      <c r="B9" s="15">
        <v>38563.56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2022</v>
      </c>
      <c r="B15" s="16">
        <v>70</v>
      </c>
      <c r="C15" s="16">
        <v>70</v>
      </c>
      <c r="D15" s="16">
        <v>38494</v>
      </c>
    </row>
    <row r="16" spans="1:4" x14ac:dyDescent="0.3">
      <c r="A16">
        <v>2023</v>
      </c>
      <c r="B16" s="16">
        <v>12855</v>
      </c>
      <c r="C16" s="16">
        <v>12925</v>
      </c>
      <c r="D16" s="16">
        <v>25639</v>
      </c>
    </row>
    <row r="17" spans="1:4" x14ac:dyDescent="0.3">
      <c r="A17">
        <v>2024</v>
      </c>
      <c r="B17" s="16">
        <v>12855</v>
      </c>
      <c r="C17" s="16">
        <v>25780</v>
      </c>
      <c r="D17" s="16">
        <v>12784</v>
      </c>
    </row>
    <row r="18" spans="1:4" x14ac:dyDescent="0.3">
      <c r="A18">
        <v>2025</v>
      </c>
      <c r="B18" s="16">
        <v>12784</v>
      </c>
      <c r="C18" s="16">
        <v>38564</v>
      </c>
      <c r="D18" s="1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6E2D9-4A0D-44A8-8A23-EB9DC70D4980}">
  <sheetPr codeName="Feuil232"/>
  <dimension ref="A1:D23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5</v>
      </c>
    </row>
    <row r="2" spans="1:4" ht="28.8" x14ac:dyDescent="0.3">
      <c r="A2" s="12" t="s">
        <v>52</v>
      </c>
      <c r="B2" s="13" t="s">
        <v>55</v>
      </c>
    </row>
    <row r="3" spans="1:4" ht="43.2" x14ac:dyDescent="0.3">
      <c r="A3" s="12" t="s">
        <v>47</v>
      </c>
      <c r="B3" s="13" t="s">
        <v>68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45323</v>
      </c>
    </row>
    <row r="7" spans="1:4" ht="28.8" x14ac:dyDescent="0.3">
      <c r="A7" s="12" t="s">
        <v>0</v>
      </c>
      <c r="B7" s="14">
        <v>45323</v>
      </c>
    </row>
    <row r="8" spans="1:4" ht="43.2" x14ac:dyDescent="0.3">
      <c r="A8" s="12" t="s">
        <v>3</v>
      </c>
      <c r="B8" s="14">
        <v>48245</v>
      </c>
    </row>
    <row r="9" spans="1:4" x14ac:dyDescent="0.3">
      <c r="A9" s="12" t="s">
        <v>48</v>
      </c>
      <c r="B9" s="15">
        <v>16044</v>
      </c>
    </row>
    <row r="10" spans="1:4" ht="57.6" x14ac:dyDescent="0.3">
      <c r="A10" s="12" t="s">
        <v>49</v>
      </c>
      <c r="B10" s="13">
        <v>8</v>
      </c>
    </row>
    <row r="11" spans="1:4" x14ac:dyDescent="0.3">
      <c r="A11" s="12" t="s">
        <v>2</v>
      </c>
      <c r="B11" s="13">
        <v>12.5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1835</v>
      </c>
      <c r="C15" s="16">
        <v>1835</v>
      </c>
      <c r="D15" s="16">
        <v>14209</v>
      </c>
    </row>
    <row r="16" spans="1:4" x14ac:dyDescent="0.3">
      <c r="A16">
        <v>2025</v>
      </c>
      <c r="B16" s="16">
        <v>2006</v>
      </c>
      <c r="C16" s="16">
        <v>3841</v>
      </c>
      <c r="D16" s="16">
        <v>12203</v>
      </c>
    </row>
    <row r="17" spans="1:4" x14ac:dyDescent="0.3">
      <c r="A17">
        <v>2026</v>
      </c>
      <c r="B17" s="16">
        <v>2006</v>
      </c>
      <c r="C17" s="16">
        <v>5847</v>
      </c>
      <c r="D17" s="16">
        <v>10197</v>
      </c>
    </row>
    <row r="18" spans="1:4" x14ac:dyDescent="0.3">
      <c r="A18">
        <v>2027</v>
      </c>
      <c r="B18" s="16">
        <v>2006</v>
      </c>
      <c r="C18" s="16">
        <v>7853</v>
      </c>
      <c r="D18" s="16">
        <v>8191</v>
      </c>
    </row>
    <row r="19" spans="1:4" x14ac:dyDescent="0.3">
      <c r="A19">
        <v>2028</v>
      </c>
      <c r="B19" s="16">
        <v>2006</v>
      </c>
      <c r="C19" s="16">
        <v>9859</v>
      </c>
      <c r="D19" s="16">
        <v>6185</v>
      </c>
    </row>
    <row r="20" spans="1:4" x14ac:dyDescent="0.3">
      <c r="A20">
        <v>2029</v>
      </c>
      <c r="B20" s="16">
        <v>2006</v>
      </c>
      <c r="C20" s="16">
        <v>11865</v>
      </c>
      <c r="D20" s="16">
        <v>4179</v>
      </c>
    </row>
    <row r="21" spans="1:4" x14ac:dyDescent="0.3">
      <c r="A21">
        <v>2030</v>
      </c>
      <c r="B21" s="16">
        <v>2006</v>
      </c>
      <c r="C21" s="16">
        <v>13871</v>
      </c>
      <c r="D21" s="16">
        <v>2173</v>
      </c>
    </row>
    <row r="22" spans="1:4" x14ac:dyDescent="0.3">
      <c r="A22">
        <v>2031</v>
      </c>
      <c r="B22" s="16">
        <v>2006</v>
      </c>
      <c r="C22" s="16">
        <v>15877</v>
      </c>
      <c r="D22" s="16">
        <v>167</v>
      </c>
    </row>
    <row r="23" spans="1:4" x14ac:dyDescent="0.3">
      <c r="A23">
        <v>2032</v>
      </c>
      <c r="B23" s="16">
        <v>176</v>
      </c>
      <c r="C23" s="16">
        <v>16053</v>
      </c>
      <c r="D23" s="16">
        <v>-9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68511-5070-4F08-BA7C-EE0C17BFBC1C}">
  <sheetPr codeName="Feuil233"/>
  <dimension ref="A1:D23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6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68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45323</v>
      </c>
    </row>
    <row r="7" spans="1:4" ht="28.8" x14ac:dyDescent="0.3">
      <c r="A7" s="12" t="s">
        <v>0</v>
      </c>
      <c r="B7" s="14">
        <v>45323</v>
      </c>
    </row>
    <row r="8" spans="1:4" ht="43.2" x14ac:dyDescent="0.3">
      <c r="A8" s="12" t="s">
        <v>3</v>
      </c>
      <c r="B8" s="14">
        <v>48245</v>
      </c>
    </row>
    <row r="9" spans="1:4" x14ac:dyDescent="0.3">
      <c r="A9" s="12" t="s">
        <v>48</v>
      </c>
      <c r="B9" s="15">
        <v>1400</v>
      </c>
    </row>
    <row r="10" spans="1:4" ht="57.6" x14ac:dyDescent="0.3">
      <c r="A10" s="12" t="s">
        <v>49</v>
      </c>
      <c r="B10" s="13">
        <v>8</v>
      </c>
    </row>
    <row r="11" spans="1:4" x14ac:dyDescent="0.3">
      <c r="A11" s="12" t="s">
        <v>2</v>
      </c>
      <c r="B11" s="13">
        <v>12.5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160</v>
      </c>
      <c r="C15" s="16">
        <v>160</v>
      </c>
      <c r="D15" s="16">
        <v>1240</v>
      </c>
    </row>
    <row r="16" spans="1:4" x14ac:dyDescent="0.3">
      <c r="A16">
        <v>2025</v>
      </c>
      <c r="B16" s="16">
        <v>175</v>
      </c>
      <c r="C16" s="16">
        <v>335</v>
      </c>
      <c r="D16" s="16">
        <v>1065</v>
      </c>
    </row>
    <row r="17" spans="1:4" x14ac:dyDescent="0.3">
      <c r="A17">
        <v>2026</v>
      </c>
      <c r="B17" s="16">
        <v>175</v>
      </c>
      <c r="C17" s="16">
        <v>510</v>
      </c>
      <c r="D17" s="16">
        <v>890</v>
      </c>
    </row>
    <row r="18" spans="1:4" x14ac:dyDescent="0.3">
      <c r="A18">
        <v>2027</v>
      </c>
      <c r="B18" s="16">
        <v>175</v>
      </c>
      <c r="C18" s="16">
        <v>685</v>
      </c>
      <c r="D18" s="16">
        <v>715</v>
      </c>
    </row>
    <row r="19" spans="1:4" x14ac:dyDescent="0.3">
      <c r="A19">
        <v>2028</v>
      </c>
      <c r="B19" s="16">
        <v>175</v>
      </c>
      <c r="C19" s="16">
        <v>860</v>
      </c>
      <c r="D19" s="16">
        <v>540</v>
      </c>
    </row>
    <row r="20" spans="1:4" x14ac:dyDescent="0.3">
      <c r="A20">
        <v>2029</v>
      </c>
      <c r="B20" s="16">
        <v>175</v>
      </c>
      <c r="C20" s="16">
        <v>1035</v>
      </c>
      <c r="D20" s="16">
        <v>365</v>
      </c>
    </row>
    <row r="21" spans="1:4" x14ac:dyDescent="0.3">
      <c r="A21">
        <v>2030</v>
      </c>
      <c r="B21" s="16">
        <v>175</v>
      </c>
      <c r="C21" s="16">
        <v>1210</v>
      </c>
      <c r="D21" s="16">
        <v>190</v>
      </c>
    </row>
    <row r="22" spans="1:4" x14ac:dyDescent="0.3">
      <c r="A22">
        <v>2031</v>
      </c>
      <c r="B22" s="16">
        <v>175</v>
      </c>
      <c r="C22" s="16">
        <v>1385</v>
      </c>
      <c r="D22" s="16">
        <v>15</v>
      </c>
    </row>
    <row r="23" spans="1:4" x14ac:dyDescent="0.3">
      <c r="A23">
        <v>2032</v>
      </c>
      <c r="B23" s="16">
        <v>15</v>
      </c>
      <c r="C23" s="16">
        <v>1400</v>
      </c>
      <c r="D23" s="16">
        <v>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659512-6B79-4340-BA26-C5A32A790E7C}">
  <sheetPr codeName="Feuil234"/>
  <dimension ref="A1:D25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7</v>
      </c>
    </row>
    <row r="2" spans="1:4" ht="28.8" x14ac:dyDescent="0.3">
      <c r="A2" s="12" t="s">
        <v>52</v>
      </c>
      <c r="B2" s="13" t="s">
        <v>56</v>
      </c>
    </row>
    <row r="3" spans="1:4" ht="43.2" x14ac:dyDescent="0.3">
      <c r="A3" s="12" t="s">
        <v>47</v>
      </c>
      <c r="B3" s="13" t="s">
        <v>69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45370</v>
      </c>
    </row>
    <row r="7" spans="1:4" ht="28.8" x14ac:dyDescent="0.3">
      <c r="A7" s="12" t="s">
        <v>0</v>
      </c>
      <c r="B7" s="14">
        <v>45370</v>
      </c>
    </row>
    <row r="8" spans="1:4" ht="43.2" x14ac:dyDescent="0.3">
      <c r="A8" s="12" t="s">
        <v>3</v>
      </c>
      <c r="B8" s="14">
        <v>49022</v>
      </c>
    </row>
    <row r="9" spans="1:4" x14ac:dyDescent="0.3">
      <c r="A9" s="12" t="s">
        <v>48</v>
      </c>
      <c r="B9" s="15">
        <v>14050</v>
      </c>
    </row>
    <row r="10" spans="1:4" ht="57.6" x14ac:dyDescent="0.3">
      <c r="A10" s="12" t="s">
        <v>49</v>
      </c>
      <c r="B10" s="13">
        <v>10</v>
      </c>
    </row>
    <row r="11" spans="1:4" x14ac:dyDescent="0.3">
      <c r="A11" s="12" t="s">
        <v>2</v>
      </c>
      <c r="B11" s="13">
        <v>10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1105</v>
      </c>
      <c r="C15" s="16">
        <v>1105</v>
      </c>
      <c r="D15" s="16">
        <v>12945</v>
      </c>
    </row>
    <row r="16" spans="1:4" x14ac:dyDescent="0.3">
      <c r="A16">
        <v>2025</v>
      </c>
      <c r="B16" s="16">
        <v>1405</v>
      </c>
      <c r="C16" s="16">
        <v>2510</v>
      </c>
      <c r="D16" s="16">
        <v>11540</v>
      </c>
    </row>
    <row r="17" spans="1:4" x14ac:dyDescent="0.3">
      <c r="A17">
        <v>2026</v>
      </c>
      <c r="B17" s="16">
        <v>1405</v>
      </c>
      <c r="C17" s="16">
        <v>3915</v>
      </c>
      <c r="D17" s="16">
        <v>10135</v>
      </c>
    </row>
    <row r="18" spans="1:4" x14ac:dyDescent="0.3">
      <c r="A18">
        <v>2027</v>
      </c>
      <c r="B18" s="16">
        <v>1405</v>
      </c>
      <c r="C18" s="16">
        <v>5320</v>
      </c>
      <c r="D18" s="16">
        <v>8730</v>
      </c>
    </row>
    <row r="19" spans="1:4" x14ac:dyDescent="0.3">
      <c r="A19">
        <v>2028</v>
      </c>
      <c r="B19" s="16">
        <v>1405</v>
      </c>
      <c r="C19" s="16">
        <v>6725</v>
      </c>
      <c r="D19" s="16">
        <v>7325</v>
      </c>
    </row>
    <row r="20" spans="1:4" x14ac:dyDescent="0.3">
      <c r="A20">
        <v>2029</v>
      </c>
      <c r="B20" s="16">
        <v>1405</v>
      </c>
      <c r="C20" s="16">
        <v>8130</v>
      </c>
      <c r="D20" s="16">
        <v>5920</v>
      </c>
    </row>
    <row r="21" spans="1:4" x14ac:dyDescent="0.3">
      <c r="A21">
        <v>2030</v>
      </c>
      <c r="B21" s="16">
        <v>1405</v>
      </c>
      <c r="C21" s="16">
        <v>9535</v>
      </c>
      <c r="D21" s="16">
        <v>4515</v>
      </c>
    </row>
    <row r="22" spans="1:4" x14ac:dyDescent="0.3">
      <c r="A22">
        <v>2031</v>
      </c>
      <c r="B22" s="16">
        <v>1405</v>
      </c>
      <c r="C22" s="16">
        <v>10940</v>
      </c>
      <c r="D22" s="16">
        <v>3110</v>
      </c>
    </row>
    <row r="23" spans="1:4" x14ac:dyDescent="0.3">
      <c r="A23">
        <v>2032</v>
      </c>
      <c r="B23" s="16">
        <v>1405</v>
      </c>
      <c r="C23" s="16">
        <v>12345</v>
      </c>
      <c r="D23" s="16">
        <v>1705</v>
      </c>
    </row>
    <row r="24" spans="1:4" x14ac:dyDescent="0.3">
      <c r="A24">
        <v>2033</v>
      </c>
      <c r="B24" s="16">
        <v>1405</v>
      </c>
      <c r="C24" s="16">
        <v>13750</v>
      </c>
      <c r="D24" s="16">
        <v>300</v>
      </c>
    </row>
    <row r="25" spans="1:4" x14ac:dyDescent="0.3">
      <c r="A25">
        <v>2034</v>
      </c>
      <c r="B25" s="16">
        <v>300</v>
      </c>
      <c r="C25" s="16">
        <v>14050</v>
      </c>
      <c r="D25" s="16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85553-0ECE-4AEC-9F09-F513805C73F7}">
  <sheetPr codeName="Feuil235"/>
  <dimension ref="A1:D25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8</v>
      </c>
    </row>
    <row r="2" spans="1:4" ht="28.8" x14ac:dyDescent="0.3">
      <c r="A2" s="12" t="s">
        <v>52</v>
      </c>
      <c r="B2" s="13" t="s">
        <v>57</v>
      </c>
    </row>
    <row r="3" spans="1:4" ht="43.2" x14ac:dyDescent="0.3">
      <c r="A3" s="12" t="s">
        <v>47</v>
      </c>
      <c r="B3" s="13" t="s">
        <v>70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45391</v>
      </c>
    </row>
    <row r="7" spans="1:4" ht="28.8" x14ac:dyDescent="0.3">
      <c r="A7" s="12" t="s">
        <v>0</v>
      </c>
      <c r="B7" s="14">
        <v>45658</v>
      </c>
    </row>
    <row r="8" spans="1:4" ht="43.2" x14ac:dyDescent="0.3">
      <c r="A8" s="12" t="s">
        <v>3</v>
      </c>
      <c r="B8" s="14">
        <v>49310</v>
      </c>
    </row>
    <row r="9" spans="1:4" x14ac:dyDescent="0.3">
      <c r="A9" s="12" t="s">
        <v>48</v>
      </c>
      <c r="B9" s="15">
        <v>11975.21</v>
      </c>
    </row>
    <row r="10" spans="1:4" ht="57.6" x14ac:dyDescent="0.3">
      <c r="A10" s="12" t="s">
        <v>49</v>
      </c>
      <c r="B10" s="13">
        <v>10</v>
      </c>
    </row>
    <row r="11" spans="1:4" x14ac:dyDescent="0.3">
      <c r="A11" s="12" t="s">
        <v>2</v>
      </c>
      <c r="B11" s="13">
        <v>10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2025</v>
      </c>
      <c r="B15" s="16">
        <v>1194</v>
      </c>
      <c r="C15" s="16">
        <v>1194</v>
      </c>
      <c r="D15" s="16">
        <v>10781</v>
      </c>
    </row>
    <row r="16" spans="1:4" x14ac:dyDescent="0.3">
      <c r="A16">
        <v>2026</v>
      </c>
      <c r="B16" s="16">
        <v>1198</v>
      </c>
      <c r="C16" s="16">
        <v>2392</v>
      </c>
      <c r="D16" s="16">
        <v>9583</v>
      </c>
    </row>
    <row r="17" spans="1:4" x14ac:dyDescent="0.3">
      <c r="A17">
        <v>2027</v>
      </c>
      <c r="B17" s="16">
        <v>1198</v>
      </c>
      <c r="C17" s="16">
        <v>3590</v>
      </c>
      <c r="D17" s="16">
        <v>8385</v>
      </c>
    </row>
    <row r="18" spans="1:4" x14ac:dyDescent="0.3">
      <c r="A18">
        <v>2028</v>
      </c>
      <c r="B18" s="16">
        <v>1198</v>
      </c>
      <c r="C18" s="16">
        <v>4788</v>
      </c>
      <c r="D18" s="16">
        <v>7187</v>
      </c>
    </row>
    <row r="19" spans="1:4" x14ac:dyDescent="0.3">
      <c r="A19">
        <v>2029</v>
      </c>
      <c r="B19" s="16">
        <v>1198</v>
      </c>
      <c r="C19" s="16">
        <v>5986</v>
      </c>
      <c r="D19" s="16">
        <v>5989</v>
      </c>
    </row>
    <row r="20" spans="1:4" x14ac:dyDescent="0.3">
      <c r="A20">
        <v>2030</v>
      </c>
      <c r="B20" s="16">
        <v>1198</v>
      </c>
      <c r="C20" s="16">
        <v>7184</v>
      </c>
      <c r="D20" s="16">
        <v>4791</v>
      </c>
    </row>
    <row r="21" spans="1:4" x14ac:dyDescent="0.3">
      <c r="A21">
        <v>2031</v>
      </c>
      <c r="B21" s="16">
        <v>1198</v>
      </c>
      <c r="C21" s="16">
        <v>8382</v>
      </c>
      <c r="D21" s="16">
        <v>3593</v>
      </c>
    </row>
    <row r="22" spans="1:4" x14ac:dyDescent="0.3">
      <c r="A22">
        <v>2032</v>
      </c>
      <c r="B22" s="16">
        <v>1198</v>
      </c>
      <c r="C22" s="16">
        <v>9580</v>
      </c>
      <c r="D22" s="16">
        <v>2395</v>
      </c>
    </row>
    <row r="23" spans="1:4" x14ac:dyDescent="0.3">
      <c r="A23">
        <v>2033</v>
      </c>
      <c r="B23" s="16">
        <v>1198</v>
      </c>
      <c r="C23" s="16">
        <v>10778</v>
      </c>
      <c r="D23" s="16">
        <v>1197</v>
      </c>
    </row>
    <row r="24" spans="1:4" x14ac:dyDescent="0.3">
      <c r="A24">
        <v>2034</v>
      </c>
      <c r="B24" s="16">
        <v>1198</v>
      </c>
      <c r="C24" s="16">
        <v>11976</v>
      </c>
      <c r="D24" s="16">
        <v>-1</v>
      </c>
    </row>
    <row r="25" spans="1:4" x14ac:dyDescent="0.3">
      <c r="A25">
        <v>2035</v>
      </c>
      <c r="B25" s="16">
        <v>3</v>
      </c>
      <c r="C25" s="16">
        <v>11979</v>
      </c>
      <c r="D25" s="16">
        <v>-4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25254-00F6-49AF-BE5F-AB0737AF7337}">
  <sheetPr codeName="Feuil236"/>
  <dimension ref="A1:D25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9</v>
      </c>
    </row>
    <row r="2" spans="1:4" ht="28.8" x14ac:dyDescent="0.3">
      <c r="A2" s="12" t="s">
        <v>52</v>
      </c>
      <c r="B2" s="13" t="s">
        <v>56</v>
      </c>
    </row>
    <row r="3" spans="1:4" ht="43.2" x14ac:dyDescent="0.3">
      <c r="A3" s="12" t="s">
        <v>47</v>
      </c>
      <c r="B3" s="13" t="s">
        <v>71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45547</v>
      </c>
    </row>
    <row r="7" spans="1:4" ht="28.8" x14ac:dyDescent="0.3">
      <c r="A7" s="12" t="s">
        <v>0</v>
      </c>
      <c r="B7" s="14">
        <v>45641</v>
      </c>
    </row>
    <row r="8" spans="1:4" ht="43.2" x14ac:dyDescent="0.3">
      <c r="A8" s="12" t="s">
        <v>3</v>
      </c>
      <c r="B8" s="14">
        <v>49293</v>
      </c>
    </row>
    <row r="9" spans="1:4" x14ac:dyDescent="0.3">
      <c r="A9" s="12" t="s">
        <v>48</v>
      </c>
      <c r="B9" s="15">
        <v>13860</v>
      </c>
    </row>
    <row r="10" spans="1:4" ht="57.6" x14ac:dyDescent="0.3">
      <c r="A10" s="12" t="s">
        <v>49</v>
      </c>
      <c r="B10" s="13">
        <v>10</v>
      </c>
    </row>
    <row r="11" spans="1:4" x14ac:dyDescent="0.3">
      <c r="A11" s="12" t="s">
        <v>2</v>
      </c>
      <c r="B11" s="13">
        <v>10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61</v>
      </c>
      <c r="C15" s="16">
        <v>61</v>
      </c>
      <c r="D15" s="16">
        <v>13799</v>
      </c>
    </row>
    <row r="16" spans="1:4" x14ac:dyDescent="0.3">
      <c r="A16">
        <v>2025</v>
      </c>
      <c r="B16" s="16">
        <v>1386</v>
      </c>
      <c r="C16" s="16">
        <v>1447</v>
      </c>
      <c r="D16" s="16">
        <v>12413</v>
      </c>
    </row>
    <row r="17" spans="1:4" x14ac:dyDescent="0.3">
      <c r="A17">
        <v>2026</v>
      </c>
      <c r="B17" s="16">
        <v>1386</v>
      </c>
      <c r="C17" s="16">
        <v>2833</v>
      </c>
      <c r="D17" s="16">
        <v>11027</v>
      </c>
    </row>
    <row r="18" spans="1:4" x14ac:dyDescent="0.3">
      <c r="A18">
        <v>2027</v>
      </c>
      <c r="B18" s="16">
        <v>1386</v>
      </c>
      <c r="C18" s="16">
        <v>4219</v>
      </c>
      <c r="D18" s="16">
        <v>9641</v>
      </c>
    </row>
    <row r="19" spans="1:4" x14ac:dyDescent="0.3">
      <c r="A19">
        <v>2028</v>
      </c>
      <c r="B19" s="16">
        <v>1386</v>
      </c>
      <c r="C19" s="16">
        <v>5605</v>
      </c>
      <c r="D19" s="16">
        <v>8255</v>
      </c>
    </row>
    <row r="20" spans="1:4" x14ac:dyDescent="0.3">
      <c r="A20">
        <v>2029</v>
      </c>
      <c r="B20" s="16">
        <v>1386</v>
      </c>
      <c r="C20" s="16">
        <v>6991</v>
      </c>
      <c r="D20" s="16">
        <v>6869</v>
      </c>
    </row>
    <row r="21" spans="1:4" x14ac:dyDescent="0.3">
      <c r="A21">
        <v>2030</v>
      </c>
      <c r="B21" s="16">
        <v>1386</v>
      </c>
      <c r="C21" s="16">
        <v>8377</v>
      </c>
      <c r="D21" s="16">
        <v>5483</v>
      </c>
    </row>
    <row r="22" spans="1:4" x14ac:dyDescent="0.3">
      <c r="A22">
        <v>2031</v>
      </c>
      <c r="B22" s="16">
        <v>1386</v>
      </c>
      <c r="C22" s="16">
        <v>9763</v>
      </c>
      <c r="D22" s="16">
        <v>4097</v>
      </c>
    </row>
    <row r="23" spans="1:4" x14ac:dyDescent="0.3">
      <c r="A23">
        <v>2032</v>
      </c>
      <c r="B23" s="16">
        <v>1386</v>
      </c>
      <c r="C23" s="16">
        <v>11149</v>
      </c>
      <c r="D23" s="16">
        <v>2711</v>
      </c>
    </row>
    <row r="24" spans="1:4" x14ac:dyDescent="0.3">
      <c r="A24">
        <v>2033</v>
      </c>
      <c r="B24" s="16">
        <v>1386</v>
      </c>
      <c r="C24" s="16">
        <v>12535</v>
      </c>
      <c r="D24" s="16">
        <v>1325</v>
      </c>
    </row>
    <row r="25" spans="1:4" x14ac:dyDescent="0.3">
      <c r="A25">
        <v>2034</v>
      </c>
      <c r="B25" s="16">
        <v>1325</v>
      </c>
      <c r="C25" s="16">
        <v>13860</v>
      </c>
      <c r="D25" s="16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E869C-A5B7-4B9D-B22C-052D9A1F1AA6}">
  <sheetPr codeName="Feuil237"/>
  <dimension ref="A1:D25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10</v>
      </c>
    </row>
    <row r="2" spans="1:4" ht="28.8" x14ac:dyDescent="0.3">
      <c r="A2" s="12" t="s">
        <v>52</v>
      </c>
      <c r="B2" s="13" t="s">
        <v>58</v>
      </c>
    </row>
    <row r="3" spans="1:4" ht="43.2" x14ac:dyDescent="0.3">
      <c r="A3" s="12" t="s">
        <v>47</v>
      </c>
      <c r="B3" s="13" t="s">
        <v>72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45558</v>
      </c>
    </row>
    <row r="7" spans="1:4" ht="28.8" x14ac:dyDescent="0.3">
      <c r="A7" s="12" t="s">
        <v>0</v>
      </c>
      <c r="B7" s="14">
        <v>45609</v>
      </c>
    </row>
    <row r="8" spans="1:4" ht="43.2" x14ac:dyDescent="0.3">
      <c r="A8" s="12" t="s">
        <v>3</v>
      </c>
      <c r="B8" s="14">
        <v>49261</v>
      </c>
    </row>
    <row r="9" spans="1:4" x14ac:dyDescent="0.3">
      <c r="A9" s="12" t="s">
        <v>48</v>
      </c>
      <c r="B9" s="15">
        <v>21878.12</v>
      </c>
    </row>
    <row r="10" spans="1:4" ht="57.6" x14ac:dyDescent="0.3">
      <c r="A10" s="12" t="s">
        <v>49</v>
      </c>
      <c r="B10" s="13">
        <v>10</v>
      </c>
    </row>
    <row r="11" spans="1:4" x14ac:dyDescent="0.3">
      <c r="A11" s="12" t="s">
        <v>2</v>
      </c>
      <c r="B11" s="13">
        <v>10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288</v>
      </c>
      <c r="C15" s="16">
        <v>288</v>
      </c>
      <c r="D15" s="16">
        <v>21590</v>
      </c>
    </row>
    <row r="16" spans="1:4" x14ac:dyDescent="0.3">
      <c r="A16">
        <v>2025</v>
      </c>
      <c r="B16" s="16">
        <v>2188</v>
      </c>
      <c r="C16" s="16">
        <v>2476</v>
      </c>
      <c r="D16" s="16">
        <v>19402</v>
      </c>
    </row>
    <row r="17" spans="1:4" x14ac:dyDescent="0.3">
      <c r="A17">
        <v>2026</v>
      </c>
      <c r="B17" s="16">
        <v>2188</v>
      </c>
      <c r="C17" s="16">
        <v>4664</v>
      </c>
      <c r="D17" s="16">
        <v>17214</v>
      </c>
    </row>
    <row r="18" spans="1:4" x14ac:dyDescent="0.3">
      <c r="A18">
        <v>2027</v>
      </c>
      <c r="B18" s="16">
        <v>2188</v>
      </c>
      <c r="C18" s="16">
        <v>6852</v>
      </c>
      <c r="D18" s="16">
        <v>15026</v>
      </c>
    </row>
    <row r="19" spans="1:4" x14ac:dyDescent="0.3">
      <c r="A19">
        <v>2028</v>
      </c>
      <c r="B19" s="16">
        <v>2188</v>
      </c>
      <c r="C19" s="16">
        <v>9040</v>
      </c>
      <c r="D19" s="16">
        <v>12838</v>
      </c>
    </row>
    <row r="20" spans="1:4" x14ac:dyDescent="0.3">
      <c r="A20">
        <v>2029</v>
      </c>
      <c r="B20" s="16">
        <v>2188</v>
      </c>
      <c r="C20" s="16">
        <v>11228</v>
      </c>
      <c r="D20" s="16">
        <v>10650</v>
      </c>
    </row>
    <row r="21" spans="1:4" x14ac:dyDescent="0.3">
      <c r="A21">
        <v>2030</v>
      </c>
      <c r="B21" s="16">
        <v>2188</v>
      </c>
      <c r="C21" s="16">
        <v>13416</v>
      </c>
      <c r="D21" s="16">
        <v>8462</v>
      </c>
    </row>
    <row r="22" spans="1:4" x14ac:dyDescent="0.3">
      <c r="A22">
        <v>2031</v>
      </c>
      <c r="B22" s="16">
        <v>2188</v>
      </c>
      <c r="C22" s="16">
        <v>15604</v>
      </c>
      <c r="D22" s="16">
        <v>6274</v>
      </c>
    </row>
    <row r="23" spans="1:4" x14ac:dyDescent="0.3">
      <c r="A23">
        <v>2032</v>
      </c>
      <c r="B23" s="16">
        <v>2188</v>
      </c>
      <c r="C23" s="16">
        <v>17792</v>
      </c>
      <c r="D23" s="16">
        <v>4086</v>
      </c>
    </row>
    <row r="24" spans="1:4" x14ac:dyDescent="0.3">
      <c r="A24">
        <v>2033</v>
      </c>
      <c r="B24" s="16">
        <v>2188</v>
      </c>
      <c r="C24" s="16">
        <v>19980</v>
      </c>
      <c r="D24" s="16">
        <v>1898</v>
      </c>
    </row>
    <row r="25" spans="1:4" x14ac:dyDescent="0.3">
      <c r="A25">
        <v>2034</v>
      </c>
      <c r="B25" s="16">
        <v>1900</v>
      </c>
      <c r="C25" s="16">
        <v>21880</v>
      </c>
      <c r="D25" s="16">
        <v>-2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88C35-9763-4056-8E80-7B54D7F3131B}">
  <sheetPr codeName="Feuil238"/>
  <dimension ref="A1:D20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11</v>
      </c>
    </row>
    <row r="2" spans="1:4" ht="28.8" x14ac:dyDescent="0.3">
      <c r="A2" s="12" t="s">
        <v>52</v>
      </c>
      <c r="B2" s="13" t="s">
        <v>59</v>
      </c>
    </row>
    <row r="3" spans="1:4" ht="43.2" x14ac:dyDescent="0.3">
      <c r="A3" s="12" t="s">
        <v>47</v>
      </c>
      <c r="B3" s="13" t="s">
        <v>73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45581</v>
      </c>
    </row>
    <row r="7" spans="1:4" ht="28.8" x14ac:dyDescent="0.3">
      <c r="A7" s="12" t="s">
        <v>0</v>
      </c>
      <c r="B7" s="14">
        <v>45658</v>
      </c>
    </row>
    <row r="8" spans="1:4" ht="43.2" x14ac:dyDescent="0.3">
      <c r="A8" s="12" t="s">
        <v>3</v>
      </c>
      <c r="B8" s="14">
        <v>47484</v>
      </c>
    </row>
    <row r="9" spans="1:4" x14ac:dyDescent="0.3">
      <c r="A9" s="12" t="s">
        <v>48</v>
      </c>
      <c r="B9" s="15">
        <v>1534.9</v>
      </c>
    </row>
    <row r="10" spans="1:4" ht="57.6" x14ac:dyDescent="0.3">
      <c r="A10" s="12" t="s">
        <v>49</v>
      </c>
      <c r="B10" s="13">
        <v>5</v>
      </c>
    </row>
    <row r="11" spans="1:4" x14ac:dyDescent="0.3">
      <c r="A11" s="12" t="s">
        <v>2</v>
      </c>
      <c r="B11" s="13">
        <v>20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2025</v>
      </c>
      <c r="B15" s="16">
        <v>306</v>
      </c>
      <c r="C15" s="16">
        <v>306</v>
      </c>
      <c r="D15" s="16">
        <v>1229</v>
      </c>
    </row>
    <row r="16" spans="1:4" x14ac:dyDescent="0.3">
      <c r="A16">
        <v>2026</v>
      </c>
      <c r="B16" s="16">
        <v>307</v>
      </c>
      <c r="C16" s="16">
        <v>613</v>
      </c>
      <c r="D16" s="16">
        <v>922</v>
      </c>
    </row>
    <row r="17" spans="1:4" x14ac:dyDescent="0.3">
      <c r="A17">
        <v>2027</v>
      </c>
      <c r="B17" s="16">
        <v>307</v>
      </c>
      <c r="C17" s="16">
        <v>920</v>
      </c>
      <c r="D17" s="16">
        <v>615</v>
      </c>
    </row>
    <row r="18" spans="1:4" x14ac:dyDescent="0.3">
      <c r="A18">
        <v>2028</v>
      </c>
      <c r="B18" s="16">
        <v>307</v>
      </c>
      <c r="C18" s="16">
        <v>1227</v>
      </c>
      <c r="D18" s="16">
        <v>308</v>
      </c>
    </row>
    <row r="19" spans="1:4" x14ac:dyDescent="0.3">
      <c r="A19">
        <v>2029</v>
      </c>
      <c r="B19" s="16">
        <v>307</v>
      </c>
      <c r="C19" s="16">
        <v>1534</v>
      </c>
      <c r="D19" s="16">
        <v>1</v>
      </c>
    </row>
    <row r="20" spans="1:4" x14ac:dyDescent="0.3">
      <c r="A20">
        <v>2030</v>
      </c>
      <c r="B20" s="16">
        <v>1</v>
      </c>
      <c r="C20" s="16">
        <v>1535</v>
      </c>
      <c r="D20" s="16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75283-1429-4BF9-BDF3-4F2A4B60498E}">
  <sheetPr codeName="Feuil239"/>
  <dimension ref="A1:D25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12</v>
      </c>
    </row>
    <row r="2" spans="1:4" ht="28.8" x14ac:dyDescent="0.3">
      <c r="A2" s="12" t="s">
        <v>52</v>
      </c>
      <c r="B2" s="13" t="s">
        <v>58</v>
      </c>
    </row>
    <row r="3" spans="1:4" ht="43.2" x14ac:dyDescent="0.3">
      <c r="A3" s="12" t="s">
        <v>47</v>
      </c>
      <c r="B3" s="13" t="s">
        <v>72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45593</v>
      </c>
    </row>
    <row r="7" spans="1:4" ht="28.8" x14ac:dyDescent="0.3">
      <c r="A7" s="12" t="s">
        <v>0</v>
      </c>
      <c r="B7" s="14">
        <v>45609</v>
      </c>
    </row>
    <row r="8" spans="1:4" ht="43.2" x14ac:dyDescent="0.3">
      <c r="A8" s="12" t="s">
        <v>3</v>
      </c>
      <c r="B8" s="14">
        <v>49261</v>
      </c>
    </row>
    <row r="9" spans="1:4" x14ac:dyDescent="0.3">
      <c r="A9" s="12" t="s">
        <v>48</v>
      </c>
      <c r="B9" s="15">
        <v>6039</v>
      </c>
    </row>
    <row r="10" spans="1:4" ht="57.6" x14ac:dyDescent="0.3">
      <c r="A10" s="12" t="s">
        <v>49</v>
      </c>
      <c r="B10" s="13">
        <v>10</v>
      </c>
    </row>
    <row r="11" spans="1:4" x14ac:dyDescent="0.3">
      <c r="A11" s="12" t="s">
        <v>2</v>
      </c>
      <c r="B11" s="13">
        <v>10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79</v>
      </c>
      <c r="C15" s="16">
        <v>79</v>
      </c>
      <c r="D15" s="16">
        <v>5960</v>
      </c>
    </row>
    <row r="16" spans="1:4" x14ac:dyDescent="0.3">
      <c r="A16">
        <v>2025</v>
      </c>
      <c r="B16" s="16">
        <v>604</v>
      </c>
      <c r="C16" s="16">
        <v>683</v>
      </c>
      <c r="D16" s="16">
        <v>5356</v>
      </c>
    </row>
    <row r="17" spans="1:4" x14ac:dyDescent="0.3">
      <c r="A17">
        <v>2026</v>
      </c>
      <c r="B17" s="16">
        <v>604</v>
      </c>
      <c r="C17" s="16">
        <v>1287</v>
      </c>
      <c r="D17" s="16">
        <v>4752</v>
      </c>
    </row>
    <row r="18" spans="1:4" x14ac:dyDescent="0.3">
      <c r="A18">
        <v>2027</v>
      </c>
      <c r="B18" s="16">
        <v>604</v>
      </c>
      <c r="C18" s="16">
        <v>1891</v>
      </c>
      <c r="D18" s="16">
        <v>4148</v>
      </c>
    </row>
    <row r="19" spans="1:4" x14ac:dyDescent="0.3">
      <c r="A19">
        <v>2028</v>
      </c>
      <c r="B19" s="16">
        <v>604</v>
      </c>
      <c r="C19" s="16">
        <v>2495</v>
      </c>
      <c r="D19" s="16">
        <v>3544</v>
      </c>
    </row>
    <row r="20" spans="1:4" x14ac:dyDescent="0.3">
      <c r="A20">
        <v>2029</v>
      </c>
      <c r="B20" s="16">
        <v>604</v>
      </c>
      <c r="C20" s="16">
        <v>3099</v>
      </c>
      <c r="D20" s="16">
        <v>2940</v>
      </c>
    </row>
    <row r="21" spans="1:4" x14ac:dyDescent="0.3">
      <c r="A21">
        <v>2030</v>
      </c>
      <c r="B21" s="16">
        <v>604</v>
      </c>
      <c r="C21" s="16">
        <v>3703</v>
      </c>
      <c r="D21" s="16">
        <v>2336</v>
      </c>
    </row>
    <row r="22" spans="1:4" x14ac:dyDescent="0.3">
      <c r="A22">
        <v>2031</v>
      </c>
      <c r="B22" s="16">
        <v>604</v>
      </c>
      <c r="C22" s="16">
        <v>4307</v>
      </c>
      <c r="D22" s="16">
        <v>1732</v>
      </c>
    </row>
    <row r="23" spans="1:4" x14ac:dyDescent="0.3">
      <c r="A23">
        <v>2032</v>
      </c>
      <c r="B23" s="16">
        <v>604</v>
      </c>
      <c r="C23" s="16">
        <v>4911</v>
      </c>
      <c r="D23" s="16">
        <v>1128</v>
      </c>
    </row>
    <row r="24" spans="1:4" x14ac:dyDescent="0.3">
      <c r="A24">
        <v>2033</v>
      </c>
      <c r="B24" s="16">
        <v>604</v>
      </c>
      <c r="C24" s="16">
        <v>5515</v>
      </c>
      <c r="D24" s="16">
        <v>524</v>
      </c>
    </row>
    <row r="25" spans="1:4" x14ac:dyDescent="0.3">
      <c r="A25">
        <v>2034</v>
      </c>
      <c r="B25" s="16">
        <v>524</v>
      </c>
      <c r="C25" s="16">
        <v>6039</v>
      </c>
      <c r="D25" s="16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B04D3-551E-4358-B1B8-86FF5EE26190}">
  <sheetPr codeName="Feuil240"/>
  <dimension ref="A1:D23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13</v>
      </c>
    </row>
    <row r="2" spans="1:4" ht="28.8" x14ac:dyDescent="0.3">
      <c r="A2" s="12" t="s">
        <v>52</v>
      </c>
      <c r="B2" s="13" t="s">
        <v>43</v>
      </c>
    </row>
    <row r="3" spans="1:4" ht="43.2" x14ac:dyDescent="0.3">
      <c r="A3" s="12" t="s">
        <v>47</v>
      </c>
      <c r="B3" s="13"/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44943</v>
      </c>
    </row>
    <row r="7" spans="1:4" ht="28.8" x14ac:dyDescent="0.3">
      <c r="A7" s="12" t="s">
        <v>0</v>
      </c>
      <c r="B7" s="14">
        <v>44943</v>
      </c>
    </row>
    <row r="8" spans="1:4" ht="43.2" x14ac:dyDescent="0.3">
      <c r="A8" s="12" t="s">
        <v>3</v>
      </c>
      <c r="B8" s="14">
        <v>47865</v>
      </c>
    </row>
    <row r="9" spans="1:4" x14ac:dyDescent="0.3">
      <c r="A9" s="12" t="s">
        <v>48</v>
      </c>
      <c r="B9" s="15">
        <v>14575.18</v>
      </c>
    </row>
    <row r="10" spans="1:4" ht="57.6" x14ac:dyDescent="0.3">
      <c r="A10" s="12" t="s">
        <v>49</v>
      </c>
      <c r="B10" s="13">
        <v>8</v>
      </c>
    </row>
    <row r="11" spans="1:4" x14ac:dyDescent="0.3">
      <c r="A11" s="12" t="s">
        <v>2</v>
      </c>
      <c r="B11" s="13">
        <v>12.5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1737</v>
      </c>
      <c r="C15" s="16">
        <v>1737</v>
      </c>
      <c r="D15" s="16">
        <v>12838</v>
      </c>
    </row>
    <row r="16" spans="1:4" x14ac:dyDescent="0.3">
      <c r="A16">
        <v>2024</v>
      </c>
      <c r="B16" s="16">
        <v>1822</v>
      </c>
      <c r="C16" s="16">
        <v>3559</v>
      </c>
      <c r="D16" s="16">
        <v>11016</v>
      </c>
    </row>
    <row r="17" spans="1:4" x14ac:dyDescent="0.3">
      <c r="A17">
        <v>2025</v>
      </c>
      <c r="B17" s="16">
        <v>1822</v>
      </c>
      <c r="C17" s="16">
        <v>5381</v>
      </c>
      <c r="D17" s="16">
        <v>9194</v>
      </c>
    </row>
    <row r="18" spans="1:4" x14ac:dyDescent="0.3">
      <c r="A18">
        <v>2026</v>
      </c>
      <c r="B18" s="16">
        <v>1822</v>
      </c>
      <c r="C18" s="16">
        <v>7203</v>
      </c>
      <c r="D18" s="16">
        <v>7372</v>
      </c>
    </row>
    <row r="19" spans="1:4" x14ac:dyDescent="0.3">
      <c r="A19">
        <v>2027</v>
      </c>
      <c r="B19" s="16">
        <v>1822</v>
      </c>
      <c r="C19" s="16">
        <v>9025</v>
      </c>
      <c r="D19" s="16">
        <v>5550</v>
      </c>
    </row>
    <row r="20" spans="1:4" x14ac:dyDescent="0.3">
      <c r="A20">
        <v>2028</v>
      </c>
      <c r="B20" s="16">
        <v>1822</v>
      </c>
      <c r="C20" s="16">
        <v>10847</v>
      </c>
      <c r="D20" s="16">
        <v>3728</v>
      </c>
    </row>
    <row r="21" spans="1:4" x14ac:dyDescent="0.3">
      <c r="A21">
        <v>2029</v>
      </c>
      <c r="B21" s="16">
        <v>1822</v>
      </c>
      <c r="C21" s="16">
        <v>12669</v>
      </c>
      <c r="D21" s="16">
        <v>1906</v>
      </c>
    </row>
    <row r="22" spans="1:4" x14ac:dyDescent="0.3">
      <c r="A22">
        <v>2030</v>
      </c>
      <c r="B22" s="16">
        <v>1822</v>
      </c>
      <c r="C22" s="16">
        <v>14491</v>
      </c>
      <c r="D22" s="16">
        <v>84</v>
      </c>
    </row>
    <row r="23" spans="1:4" x14ac:dyDescent="0.3">
      <c r="A23">
        <v>2031</v>
      </c>
      <c r="B23" s="16">
        <v>85</v>
      </c>
      <c r="C23" s="16">
        <v>14576</v>
      </c>
      <c r="D23" s="16">
        <v>-1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B821B7-00AB-43EE-88D5-B74003A7658A}">
  <sheetPr codeName="Feuil241"/>
  <dimension ref="A1:D20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14</v>
      </c>
    </row>
    <row r="2" spans="1:4" ht="28.8" x14ac:dyDescent="0.3">
      <c r="A2" s="12" t="s">
        <v>52</v>
      </c>
      <c r="B2" s="13" t="s">
        <v>60</v>
      </c>
    </row>
    <row r="3" spans="1:4" ht="43.2" x14ac:dyDescent="0.3">
      <c r="A3" s="12" t="s">
        <v>47</v>
      </c>
      <c r="B3" s="13" t="s">
        <v>74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44943</v>
      </c>
    </row>
    <row r="7" spans="1:4" ht="28.8" x14ac:dyDescent="0.3">
      <c r="A7" s="12" t="s">
        <v>0</v>
      </c>
      <c r="B7" s="14">
        <v>44943</v>
      </c>
    </row>
    <row r="8" spans="1:4" ht="43.2" x14ac:dyDescent="0.3">
      <c r="A8" s="12" t="s">
        <v>3</v>
      </c>
      <c r="B8" s="14">
        <v>46769</v>
      </c>
    </row>
    <row r="9" spans="1:4" x14ac:dyDescent="0.3">
      <c r="A9" s="12" t="s">
        <v>48</v>
      </c>
      <c r="B9" s="15">
        <v>1853.37</v>
      </c>
    </row>
    <row r="10" spans="1:4" ht="57.6" x14ac:dyDescent="0.3">
      <c r="A10" s="12" t="s">
        <v>49</v>
      </c>
      <c r="B10" s="13">
        <v>5</v>
      </c>
    </row>
    <row r="11" spans="1:4" x14ac:dyDescent="0.3">
      <c r="A11" s="12" t="s">
        <v>2</v>
      </c>
      <c r="B11" s="13">
        <v>20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353</v>
      </c>
      <c r="C15" s="16">
        <v>353</v>
      </c>
      <c r="D15" s="16">
        <v>1500</v>
      </c>
    </row>
    <row r="16" spans="1:4" x14ac:dyDescent="0.3">
      <c r="A16">
        <v>2024</v>
      </c>
      <c r="B16" s="16">
        <v>371</v>
      </c>
      <c r="C16" s="16">
        <v>724</v>
      </c>
      <c r="D16" s="16">
        <v>1129</v>
      </c>
    </row>
    <row r="17" spans="1:4" x14ac:dyDescent="0.3">
      <c r="A17">
        <v>2025</v>
      </c>
      <c r="B17" s="16">
        <v>371</v>
      </c>
      <c r="C17" s="16">
        <v>1095</v>
      </c>
      <c r="D17" s="16">
        <v>758</v>
      </c>
    </row>
    <row r="18" spans="1:4" x14ac:dyDescent="0.3">
      <c r="A18">
        <v>2026</v>
      </c>
      <c r="B18" s="16">
        <v>371</v>
      </c>
      <c r="C18" s="16">
        <v>1466</v>
      </c>
      <c r="D18" s="16">
        <v>387</v>
      </c>
    </row>
    <row r="19" spans="1:4" x14ac:dyDescent="0.3">
      <c r="A19">
        <v>2027</v>
      </c>
      <c r="B19" s="16">
        <v>371</v>
      </c>
      <c r="C19" s="16">
        <v>1837</v>
      </c>
      <c r="D19" s="16">
        <v>16</v>
      </c>
    </row>
    <row r="20" spans="1:4" x14ac:dyDescent="0.3">
      <c r="A20">
        <v>2028</v>
      </c>
      <c r="B20" s="16">
        <v>17</v>
      </c>
      <c r="C20" s="16">
        <v>1854</v>
      </c>
      <c r="D20" s="16">
        <v>-1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0A5E2-06E7-4CDF-B8BA-9FB4B677917E}">
  <sheetPr codeName="Feuil242"/>
  <dimension ref="A1:D20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15</v>
      </c>
    </row>
    <row r="2" spans="1:4" ht="28.8" x14ac:dyDescent="0.3">
      <c r="A2" s="12" t="s">
        <v>52</v>
      </c>
      <c r="B2" s="13" t="s">
        <v>61</v>
      </c>
    </row>
    <row r="3" spans="1:4" ht="43.2" x14ac:dyDescent="0.3">
      <c r="A3" s="12" t="s">
        <v>47</v>
      </c>
      <c r="B3" s="13" t="s">
        <v>75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44966</v>
      </c>
    </row>
    <row r="7" spans="1:4" ht="28.8" x14ac:dyDescent="0.3">
      <c r="A7" s="12" t="s">
        <v>0</v>
      </c>
      <c r="B7" s="14">
        <v>44966</v>
      </c>
    </row>
    <row r="8" spans="1:4" ht="43.2" x14ac:dyDescent="0.3">
      <c r="A8" s="12" t="s">
        <v>3</v>
      </c>
      <c r="B8" s="14">
        <v>46792</v>
      </c>
    </row>
    <row r="9" spans="1:4" x14ac:dyDescent="0.3">
      <c r="A9" s="12" t="s">
        <v>48</v>
      </c>
      <c r="B9" s="15">
        <v>975</v>
      </c>
    </row>
    <row r="10" spans="1:4" ht="57.6" x14ac:dyDescent="0.3">
      <c r="A10" s="12" t="s">
        <v>49</v>
      </c>
      <c r="B10" s="13">
        <v>5</v>
      </c>
    </row>
    <row r="11" spans="1:4" x14ac:dyDescent="0.3">
      <c r="A11" s="12" t="s">
        <v>2</v>
      </c>
      <c r="B11" s="13">
        <v>20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174</v>
      </c>
      <c r="C15" s="16">
        <v>174</v>
      </c>
      <c r="D15" s="16">
        <v>801</v>
      </c>
    </row>
    <row r="16" spans="1:4" x14ac:dyDescent="0.3">
      <c r="A16">
        <v>2024</v>
      </c>
      <c r="B16" s="16">
        <v>195</v>
      </c>
      <c r="C16" s="16">
        <v>369</v>
      </c>
      <c r="D16" s="16">
        <v>606</v>
      </c>
    </row>
    <row r="17" spans="1:4" x14ac:dyDescent="0.3">
      <c r="A17">
        <v>2025</v>
      </c>
      <c r="B17" s="16">
        <v>195</v>
      </c>
      <c r="C17" s="16">
        <v>564</v>
      </c>
      <c r="D17" s="16">
        <v>411</v>
      </c>
    </row>
    <row r="18" spans="1:4" x14ac:dyDescent="0.3">
      <c r="A18">
        <v>2026</v>
      </c>
      <c r="B18" s="16">
        <v>195</v>
      </c>
      <c r="C18" s="16">
        <v>759</v>
      </c>
      <c r="D18" s="16">
        <v>216</v>
      </c>
    </row>
    <row r="19" spans="1:4" x14ac:dyDescent="0.3">
      <c r="A19">
        <v>2027</v>
      </c>
      <c r="B19" s="16">
        <v>195</v>
      </c>
      <c r="C19" s="16">
        <v>954</v>
      </c>
      <c r="D19" s="16">
        <v>21</v>
      </c>
    </row>
    <row r="20" spans="1:4" x14ac:dyDescent="0.3">
      <c r="A20">
        <v>2028</v>
      </c>
      <c r="B20" s="16">
        <v>21</v>
      </c>
      <c r="C20" s="16">
        <v>975</v>
      </c>
      <c r="D20" s="16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A04A9-94A7-4333-BE84-94841415E93A}">
  <sheetPr codeName="Feuil243"/>
  <dimension ref="A1:D20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16</v>
      </c>
    </row>
    <row r="2" spans="1:4" ht="28.8" x14ac:dyDescent="0.3">
      <c r="A2" s="12" t="s">
        <v>52</v>
      </c>
      <c r="B2" s="13" t="s">
        <v>61</v>
      </c>
    </row>
    <row r="3" spans="1:4" ht="43.2" x14ac:dyDescent="0.3">
      <c r="A3" s="12" t="s">
        <v>47</v>
      </c>
      <c r="B3" s="13" t="s">
        <v>75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44984</v>
      </c>
    </row>
    <row r="7" spans="1:4" ht="28.8" x14ac:dyDescent="0.3">
      <c r="A7" s="12" t="s">
        <v>0</v>
      </c>
      <c r="B7" s="14">
        <v>44984</v>
      </c>
    </row>
    <row r="8" spans="1:4" ht="43.2" x14ac:dyDescent="0.3">
      <c r="A8" s="12" t="s">
        <v>3</v>
      </c>
      <c r="B8" s="14">
        <v>46810</v>
      </c>
    </row>
    <row r="9" spans="1:4" x14ac:dyDescent="0.3">
      <c r="A9" s="12" t="s">
        <v>48</v>
      </c>
      <c r="B9" s="15">
        <v>1541.25</v>
      </c>
    </row>
    <row r="10" spans="1:4" ht="57.6" x14ac:dyDescent="0.3">
      <c r="A10" s="12" t="s">
        <v>49</v>
      </c>
      <c r="B10" s="13">
        <v>5</v>
      </c>
    </row>
    <row r="11" spans="1:4" x14ac:dyDescent="0.3">
      <c r="A11" s="12" t="s">
        <v>2</v>
      </c>
      <c r="B11" s="13">
        <v>20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259</v>
      </c>
      <c r="C15" s="16">
        <v>259</v>
      </c>
      <c r="D15" s="16">
        <v>1282</v>
      </c>
    </row>
    <row r="16" spans="1:4" x14ac:dyDescent="0.3">
      <c r="A16">
        <v>2024</v>
      </c>
      <c r="B16" s="16">
        <v>308</v>
      </c>
      <c r="C16" s="16">
        <v>567</v>
      </c>
      <c r="D16" s="16">
        <v>974</v>
      </c>
    </row>
    <row r="17" spans="1:4" x14ac:dyDescent="0.3">
      <c r="A17">
        <v>2025</v>
      </c>
      <c r="B17" s="16">
        <v>308</v>
      </c>
      <c r="C17" s="16">
        <v>875</v>
      </c>
      <c r="D17" s="16">
        <v>666</v>
      </c>
    </row>
    <row r="18" spans="1:4" x14ac:dyDescent="0.3">
      <c r="A18">
        <v>2026</v>
      </c>
      <c r="B18" s="16">
        <v>308</v>
      </c>
      <c r="C18" s="16">
        <v>1183</v>
      </c>
      <c r="D18" s="16">
        <v>358</v>
      </c>
    </row>
    <row r="19" spans="1:4" x14ac:dyDescent="0.3">
      <c r="A19">
        <v>2027</v>
      </c>
      <c r="B19" s="16">
        <v>308</v>
      </c>
      <c r="C19" s="16">
        <v>1491</v>
      </c>
      <c r="D19" s="16">
        <v>50</v>
      </c>
    </row>
    <row r="20" spans="1:4" x14ac:dyDescent="0.3">
      <c r="A20">
        <v>2028</v>
      </c>
      <c r="B20" s="16">
        <v>49</v>
      </c>
      <c r="C20" s="16">
        <v>1540</v>
      </c>
      <c r="D20" s="16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3F172-C80A-44D9-8CA2-BE7BCA6F571C}">
  <sheetPr codeName="Feuil244"/>
  <dimension ref="A1:D23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17</v>
      </c>
    </row>
    <row r="2" spans="1:4" ht="28.8" x14ac:dyDescent="0.3">
      <c r="A2" s="12" t="s">
        <v>52</v>
      </c>
      <c r="B2" s="13" t="s">
        <v>43</v>
      </c>
    </row>
    <row r="3" spans="1:4" ht="43.2" x14ac:dyDescent="0.3">
      <c r="A3" s="12" t="s">
        <v>47</v>
      </c>
      <c r="B3" s="13" t="s">
        <v>76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44967</v>
      </c>
    </row>
    <row r="7" spans="1:4" ht="28.8" x14ac:dyDescent="0.3">
      <c r="A7" s="12" t="s">
        <v>0</v>
      </c>
      <c r="B7" s="14">
        <v>44967</v>
      </c>
    </row>
    <row r="8" spans="1:4" ht="43.2" x14ac:dyDescent="0.3">
      <c r="A8" s="12" t="s">
        <v>3</v>
      </c>
      <c r="B8" s="14">
        <v>47889</v>
      </c>
    </row>
    <row r="9" spans="1:4" x14ac:dyDescent="0.3">
      <c r="A9" s="12" t="s">
        <v>48</v>
      </c>
      <c r="B9" s="15">
        <v>671.67</v>
      </c>
    </row>
    <row r="10" spans="1:4" ht="57.6" x14ac:dyDescent="0.3">
      <c r="A10" s="12" t="s">
        <v>49</v>
      </c>
      <c r="B10" s="13">
        <v>8</v>
      </c>
    </row>
    <row r="11" spans="1:4" x14ac:dyDescent="0.3">
      <c r="A11" s="12" t="s">
        <v>2</v>
      </c>
      <c r="B11" s="13">
        <v>12.5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75</v>
      </c>
      <c r="C15" s="16">
        <v>75</v>
      </c>
      <c r="D15" s="16">
        <v>597</v>
      </c>
    </row>
    <row r="16" spans="1:4" x14ac:dyDescent="0.3">
      <c r="A16">
        <v>2024</v>
      </c>
      <c r="B16" s="16">
        <v>84</v>
      </c>
      <c r="C16" s="16">
        <v>159</v>
      </c>
      <c r="D16" s="16">
        <v>513</v>
      </c>
    </row>
    <row r="17" spans="1:4" x14ac:dyDescent="0.3">
      <c r="A17">
        <v>2025</v>
      </c>
      <c r="B17" s="16">
        <v>84</v>
      </c>
      <c r="C17" s="16">
        <v>243</v>
      </c>
      <c r="D17" s="16">
        <v>429</v>
      </c>
    </row>
    <row r="18" spans="1:4" x14ac:dyDescent="0.3">
      <c r="A18">
        <v>2026</v>
      </c>
      <c r="B18" s="16">
        <v>84</v>
      </c>
      <c r="C18" s="16">
        <v>327</v>
      </c>
      <c r="D18" s="16">
        <v>345</v>
      </c>
    </row>
    <row r="19" spans="1:4" x14ac:dyDescent="0.3">
      <c r="A19">
        <v>2027</v>
      </c>
      <c r="B19" s="16">
        <v>84</v>
      </c>
      <c r="C19" s="16">
        <v>411</v>
      </c>
      <c r="D19" s="16">
        <v>261</v>
      </c>
    </row>
    <row r="20" spans="1:4" x14ac:dyDescent="0.3">
      <c r="A20">
        <v>2028</v>
      </c>
      <c r="B20" s="16">
        <v>84</v>
      </c>
      <c r="C20" s="16">
        <v>495</v>
      </c>
      <c r="D20" s="16">
        <v>177</v>
      </c>
    </row>
    <row r="21" spans="1:4" x14ac:dyDescent="0.3">
      <c r="A21">
        <v>2029</v>
      </c>
      <c r="B21" s="16">
        <v>84</v>
      </c>
      <c r="C21" s="16">
        <v>579</v>
      </c>
      <c r="D21" s="16">
        <v>93</v>
      </c>
    </row>
    <row r="22" spans="1:4" x14ac:dyDescent="0.3">
      <c r="A22">
        <v>2030</v>
      </c>
      <c r="B22" s="16">
        <v>84</v>
      </c>
      <c r="C22" s="16">
        <v>663</v>
      </c>
      <c r="D22" s="16">
        <v>9</v>
      </c>
    </row>
    <row r="23" spans="1:4" x14ac:dyDescent="0.3">
      <c r="A23">
        <v>2031</v>
      </c>
      <c r="B23" s="16">
        <v>9</v>
      </c>
      <c r="C23" s="16">
        <v>672</v>
      </c>
      <c r="D23" s="16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3DD69-4800-405A-BFC7-DD26FE1E308D}">
  <sheetPr codeName="Feuil245"/>
  <dimension ref="A1:D23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18</v>
      </c>
    </row>
    <row r="2" spans="1:4" ht="28.8" x14ac:dyDescent="0.3">
      <c r="A2" s="12" t="s">
        <v>52</v>
      </c>
      <c r="B2" s="13" t="s">
        <v>43</v>
      </c>
    </row>
    <row r="3" spans="1:4" ht="43.2" x14ac:dyDescent="0.3">
      <c r="A3" s="12" t="s">
        <v>47</v>
      </c>
      <c r="B3" s="13"/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44967</v>
      </c>
    </row>
    <row r="7" spans="1:4" ht="28.8" x14ac:dyDescent="0.3">
      <c r="A7" s="12" t="s">
        <v>0</v>
      </c>
      <c r="B7" s="14">
        <v>44967</v>
      </c>
    </row>
    <row r="8" spans="1:4" ht="43.2" x14ac:dyDescent="0.3">
      <c r="A8" s="12" t="s">
        <v>3</v>
      </c>
      <c r="B8" s="14">
        <v>47889</v>
      </c>
    </row>
    <row r="9" spans="1:4" x14ac:dyDescent="0.3">
      <c r="A9" s="12" t="s">
        <v>48</v>
      </c>
      <c r="B9" s="15">
        <v>482.52</v>
      </c>
    </row>
    <row r="10" spans="1:4" ht="57.6" x14ac:dyDescent="0.3">
      <c r="A10" s="12" t="s">
        <v>49</v>
      </c>
      <c r="B10" s="13">
        <v>8</v>
      </c>
    </row>
    <row r="11" spans="1:4" x14ac:dyDescent="0.3">
      <c r="A11" s="12" t="s">
        <v>2</v>
      </c>
      <c r="B11" s="13">
        <v>12.5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54</v>
      </c>
      <c r="C15" s="16">
        <v>54</v>
      </c>
      <c r="D15" s="16">
        <v>429</v>
      </c>
    </row>
    <row r="16" spans="1:4" x14ac:dyDescent="0.3">
      <c r="A16">
        <v>2024</v>
      </c>
      <c r="B16" s="16">
        <v>60</v>
      </c>
      <c r="C16" s="16">
        <v>114</v>
      </c>
      <c r="D16" s="16">
        <v>369</v>
      </c>
    </row>
    <row r="17" spans="1:4" x14ac:dyDescent="0.3">
      <c r="A17">
        <v>2025</v>
      </c>
      <c r="B17" s="16">
        <v>60</v>
      </c>
      <c r="C17" s="16">
        <v>174</v>
      </c>
      <c r="D17" s="16">
        <v>309</v>
      </c>
    </row>
    <row r="18" spans="1:4" x14ac:dyDescent="0.3">
      <c r="A18">
        <v>2026</v>
      </c>
      <c r="B18" s="16">
        <v>60</v>
      </c>
      <c r="C18" s="16">
        <v>234</v>
      </c>
      <c r="D18" s="16">
        <v>249</v>
      </c>
    </row>
    <row r="19" spans="1:4" x14ac:dyDescent="0.3">
      <c r="A19">
        <v>2027</v>
      </c>
      <c r="B19" s="16">
        <v>60</v>
      </c>
      <c r="C19" s="16">
        <v>294</v>
      </c>
      <c r="D19" s="16">
        <v>189</v>
      </c>
    </row>
    <row r="20" spans="1:4" x14ac:dyDescent="0.3">
      <c r="A20">
        <v>2028</v>
      </c>
      <c r="B20" s="16">
        <v>60</v>
      </c>
      <c r="C20" s="16">
        <v>354</v>
      </c>
      <c r="D20" s="16">
        <v>129</v>
      </c>
    </row>
    <row r="21" spans="1:4" x14ac:dyDescent="0.3">
      <c r="A21">
        <v>2029</v>
      </c>
      <c r="B21" s="16">
        <v>60</v>
      </c>
      <c r="C21" s="16">
        <v>414</v>
      </c>
      <c r="D21" s="16">
        <v>69</v>
      </c>
    </row>
    <row r="22" spans="1:4" x14ac:dyDescent="0.3">
      <c r="A22">
        <v>2030</v>
      </c>
      <c r="B22" s="16">
        <v>60</v>
      </c>
      <c r="C22" s="16">
        <v>474</v>
      </c>
      <c r="D22" s="16">
        <v>9</v>
      </c>
    </row>
    <row r="23" spans="1:4" x14ac:dyDescent="0.3">
      <c r="A23">
        <v>2031</v>
      </c>
      <c r="B23" s="16">
        <v>7</v>
      </c>
      <c r="C23" s="16">
        <v>481</v>
      </c>
      <c r="D23" s="16">
        <v>2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D3AB2-D593-4FE7-863B-175E4241D876}">
  <sheetPr codeName="Feuil246"/>
  <dimension ref="A1:D20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19</v>
      </c>
    </row>
    <row r="2" spans="1:4" ht="28.8" x14ac:dyDescent="0.3">
      <c r="A2" s="12" t="s">
        <v>52</v>
      </c>
      <c r="B2" s="13" t="s">
        <v>62</v>
      </c>
    </row>
    <row r="3" spans="1:4" ht="43.2" x14ac:dyDescent="0.3">
      <c r="A3" s="12" t="s">
        <v>47</v>
      </c>
      <c r="B3" s="13" t="s">
        <v>77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44970</v>
      </c>
    </row>
    <row r="7" spans="1:4" ht="28.8" x14ac:dyDescent="0.3">
      <c r="A7" s="12" t="s">
        <v>0</v>
      </c>
      <c r="B7" s="14">
        <v>44970</v>
      </c>
    </row>
    <row r="8" spans="1:4" ht="43.2" x14ac:dyDescent="0.3">
      <c r="A8" s="12" t="s">
        <v>3</v>
      </c>
      <c r="B8" s="14">
        <v>46796</v>
      </c>
    </row>
    <row r="9" spans="1:4" x14ac:dyDescent="0.3">
      <c r="A9" s="12" t="s">
        <v>48</v>
      </c>
      <c r="B9" s="15">
        <v>1196.9000000000001</v>
      </c>
    </row>
    <row r="10" spans="1:4" ht="57.6" x14ac:dyDescent="0.3">
      <c r="A10" s="12" t="s">
        <v>49</v>
      </c>
      <c r="B10" s="13">
        <v>5</v>
      </c>
    </row>
    <row r="11" spans="1:4" x14ac:dyDescent="0.3">
      <c r="A11" s="12" t="s">
        <v>2</v>
      </c>
      <c r="B11" s="13">
        <v>20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211</v>
      </c>
      <c r="C15" s="16">
        <v>211</v>
      </c>
      <c r="D15" s="16">
        <v>986</v>
      </c>
    </row>
    <row r="16" spans="1:4" x14ac:dyDescent="0.3">
      <c r="A16">
        <v>2024</v>
      </c>
      <c r="B16" s="16">
        <v>239</v>
      </c>
      <c r="C16" s="16">
        <v>450</v>
      </c>
      <c r="D16" s="16">
        <v>747</v>
      </c>
    </row>
    <row r="17" spans="1:4" x14ac:dyDescent="0.3">
      <c r="A17">
        <v>2025</v>
      </c>
      <c r="B17" s="16">
        <v>239</v>
      </c>
      <c r="C17" s="16">
        <v>689</v>
      </c>
      <c r="D17" s="16">
        <v>508</v>
      </c>
    </row>
    <row r="18" spans="1:4" x14ac:dyDescent="0.3">
      <c r="A18">
        <v>2026</v>
      </c>
      <c r="B18" s="16">
        <v>239</v>
      </c>
      <c r="C18" s="16">
        <v>928</v>
      </c>
      <c r="D18" s="16">
        <v>269</v>
      </c>
    </row>
    <row r="19" spans="1:4" x14ac:dyDescent="0.3">
      <c r="A19">
        <v>2027</v>
      </c>
      <c r="B19" s="16">
        <v>239</v>
      </c>
      <c r="C19" s="16">
        <v>1167</v>
      </c>
      <c r="D19" s="16">
        <v>30</v>
      </c>
    </row>
    <row r="20" spans="1:4" x14ac:dyDescent="0.3">
      <c r="A20">
        <v>2028</v>
      </c>
      <c r="B20" s="16">
        <v>29</v>
      </c>
      <c r="C20" s="16">
        <v>1196</v>
      </c>
      <c r="D20" s="16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7A800-B46D-4F98-A404-EA2C806257AD}">
  <sheetPr codeName="Feuil247"/>
  <dimension ref="A1:D20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20</v>
      </c>
    </row>
    <row r="2" spans="1:4" ht="28.8" x14ac:dyDescent="0.3">
      <c r="A2" s="12" t="s">
        <v>52</v>
      </c>
      <c r="B2" s="13" t="s">
        <v>62</v>
      </c>
    </row>
    <row r="3" spans="1:4" ht="43.2" x14ac:dyDescent="0.3">
      <c r="A3" s="12" t="s">
        <v>47</v>
      </c>
      <c r="B3" s="13" t="s">
        <v>78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44973</v>
      </c>
    </row>
    <row r="7" spans="1:4" ht="28.8" x14ac:dyDescent="0.3">
      <c r="A7" s="12" t="s">
        <v>0</v>
      </c>
      <c r="B7" s="14">
        <v>44973</v>
      </c>
    </row>
    <row r="8" spans="1:4" ht="43.2" x14ac:dyDescent="0.3">
      <c r="A8" s="12" t="s">
        <v>3</v>
      </c>
      <c r="B8" s="14">
        <v>46799</v>
      </c>
    </row>
    <row r="9" spans="1:4" x14ac:dyDescent="0.3">
      <c r="A9" s="12" t="s">
        <v>48</v>
      </c>
      <c r="B9" s="15">
        <v>1954</v>
      </c>
    </row>
    <row r="10" spans="1:4" ht="57.6" x14ac:dyDescent="0.3">
      <c r="A10" s="12" t="s">
        <v>49</v>
      </c>
      <c r="B10" s="13">
        <v>5</v>
      </c>
    </row>
    <row r="11" spans="1:4" x14ac:dyDescent="0.3">
      <c r="A11" s="12" t="s">
        <v>2</v>
      </c>
      <c r="B11" s="13">
        <v>20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340</v>
      </c>
      <c r="C15" s="16">
        <v>340</v>
      </c>
      <c r="D15" s="16">
        <v>1614</v>
      </c>
    </row>
    <row r="16" spans="1:4" x14ac:dyDescent="0.3">
      <c r="A16">
        <v>2024</v>
      </c>
      <c r="B16" s="16">
        <v>391</v>
      </c>
      <c r="C16" s="16">
        <v>731</v>
      </c>
      <c r="D16" s="16">
        <v>1223</v>
      </c>
    </row>
    <row r="17" spans="1:4" x14ac:dyDescent="0.3">
      <c r="A17">
        <v>2025</v>
      </c>
      <c r="B17" s="16">
        <v>391</v>
      </c>
      <c r="C17" s="16">
        <v>1122</v>
      </c>
      <c r="D17" s="16">
        <v>832</v>
      </c>
    </row>
    <row r="18" spans="1:4" x14ac:dyDescent="0.3">
      <c r="A18">
        <v>2026</v>
      </c>
      <c r="B18" s="16">
        <v>391</v>
      </c>
      <c r="C18" s="16">
        <v>1513</v>
      </c>
      <c r="D18" s="16">
        <v>441</v>
      </c>
    </row>
    <row r="19" spans="1:4" x14ac:dyDescent="0.3">
      <c r="A19">
        <v>2027</v>
      </c>
      <c r="B19" s="16">
        <v>391</v>
      </c>
      <c r="C19" s="16">
        <v>1904</v>
      </c>
      <c r="D19" s="16">
        <v>50</v>
      </c>
    </row>
    <row r="20" spans="1:4" x14ac:dyDescent="0.3">
      <c r="A20">
        <v>2028</v>
      </c>
      <c r="B20" s="16">
        <v>50</v>
      </c>
      <c r="C20" s="16">
        <v>1954</v>
      </c>
      <c r="D20" s="16">
        <v>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EE42B-911B-4F73-A32E-2A48DFD9CFEC}">
  <sheetPr codeName="Feuil248"/>
  <dimension ref="A1:D23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21</v>
      </c>
    </row>
    <row r="2" spans="1:4" ht="28.8" x14ac:dyDescent="0.3">
      <c r="A2" s="12" t="s">
        <v>52</v>
      </c>
      <c r="B2" s="13" t="s">
        <v>43</v>
      </c>
    </row>
    <row r="3" spans="1:4" ht="43.2" x14ac:dyDescent="0.3">
      <c r="A3" s="12" t="s">
        <v>47</v>
      </c>
      <c r="B3" s="13"/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44967</v>
      </c>
    </row>
    <row r="7" spans="1:4" ht="28.8" x14ac:dyDescent="0.3">
      <c r="A7" s="12" t="s">
        <v>0</v>
      </c>
      <c r="B7" s="14">
        <v>44967</v>
      </c>
    </row>
    <row r="8" spans="1:4" ht="43.2" x14ac:dyDescent="0.3">
      <c r="A8" s="12" t="s">
        <v>3</v>
      </c>
      <c r="B8" s="14">
        <v>47889</v>
      </c>
    </row>
    <row r="9" spans="1:4" x14ac:dyDescent="0.3">
      <c r="A9" s="12" t="s">
        <v>48</v>
      </c>
      <c r="B9" s="15">
        <v>960</v>
      </c>
    </row>
    <row r="10" spans="1:4" ht="57.6" x14ac:dyDescent="0.3">
      <c r="A10" s="12" t="s">
        <v>49</v>
      </c>
      <c r="B10" s="13">
        <v>8</v>
      </c>
    </row>
    <row r="11" spans="1:4" x14ac:dyDescent="0.3">
      <c r="A11" s="12" t="s">
        <v>2</v>
      </c>
      <c r="B11" s="13">
        <v>12.5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107</v>
      </c>
      <c r="C15" s="16">
        <v>107</v>
      </c>
      <c r="D15" s="16">
        <v>853</v>
      </c>
    </row>
    <row r="16" spans="1:4" x14ac:dyDescent="0.3">
      <c r="A16">
        <v>2024</v>
      </c>
      <c r="B16" s="16">
        <v>120</v>
      </c>
      <c r="C16" s="16">
        <v>227</v>
      </c>
      <c r="D16" s="16">
        <v>733</v>
      </c>
    </row>
    <row r="17" spans="1:4" x14ac:dyDescent="0.3">
      <c r="A17">
        <v>2025</v>
      </c>
      <c r="B17" s="16">
        <v>120</v>
      </c>
      <c r="C17" s="16">
        <v>347</v>
      </c>
      <c r="D17" s="16">
        <v>613</v>
      </c>
    </row>
    <row r="18" spans="1:4" x14ac:dyDescent="0.3">
      <c r="A18">
        <v>2026</v>
      </c>
      <c r="B18" s="16">
        <v>120</v>
      </c>
      <c r="C18" s="16">
        <v>467</v>
      </c>
      <c r="D18" s="16">
        <v>493</v>
      </c>
    </row>
    <row r="19" spans="1:4" x14ac:dyDescent="0.3">
      <c r="A19">
        <v>2027</v>
      </c>
      <c r="B19" s="16">
        <v>120</v>
      </c>
      <c r="C19" s="16">
        <v>587</v>
      </c>
      <c r="D19" s="16">
        <v>373</v>
      </c>
    </row>
    <row r="20" spans="1:4" x14ac:dyDescent="0.3">
      <c r="A20">
        <v>2028</v>
      </c>
      <c r="B20" s="16">
        <v>120</v>
      </c>
      <c r="C20" s="16">
        <v>707</v>
      </c>
      <c r="D20" s="16">
        <v>253</v>
      </c>
    </row>
    <row r="21" spans="1:4" x14ac:dyDescent="0.3">
      <c r="A21">
        <v>2029</v>
      </c>
      <c r="B21" s="16">
        <v>120</v>
      </c>
      <c r="C21" s="16">
        <v>827</v>
      </c>
      <c r="D21" s="16">
        <v>133</v>
      </c>
    </row>
    <row r="22" spans="1:4" x14ac:dyDescent="0.3">
      <c r="A22">
        <v>2030</v>
      </c>
      <c r="B22" s="16">
        <v>120</v>
      </c>
      <c r="C22" s="16">
        <v>947</v>
      </c>
      <c r="D22" s="16">
        <v>13</v>
      </c>
    </row>
    <row r="23" spans="1:4" x14ac:dyDescent="0.3">
      <c r="A23">
        <v>2031</v>
      </c>
      <c r="B23" s="16">
        <v>13</v>
      </c>
      <c r="C23" s="16">
        <v>960</v>
      </c>
      <c r="D23" s="16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188B7-2B97-490E-BB00-1E2BB139FDDC}">
  <sheetPr codeName="Feuil249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22</v>
      </c>
    </row>
    <row r="2" spans="1:4" ht="28.8" x14ac:dyDescent="0.3">
      <c r="A2" s="12" t="s">
        <v>52</v>
      </c>
      <c r="B2" s="13" t="s">
        <v>44</v>
      </c>
    </row>
    <row r="3" spans="1:4" ht="43.2" x14ac:dyDescent="0.3">
      <c r="A3" s="12" t="s">
        <v>47</v>
      </c>
      <c r="B3" s="13"/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44986</v>
      </c>
    </row>
    <row r="7" spans="1:4" ht="28.8" x14ac:dyDescent="0.3">
      <c r="A7" s="12" t="s">
        <v>0</v>
      </c>
      <c r="B7" s="14">
        <v>44986</v>
      </c>
    </row>
    <row r="8" spans="1:4" ht="43.2" x14ac:dyDescent="0.3">
      <c r="A8" s="12" t="s">
        <v>3</v>
      </c>
      <c r="B8" s="14">
        <v>46082</v>
      </c>
    </row>
    <row r="9" spans="1:4" x14ac:dyDescent="0.3">
      <c r="A9" s="12" t="s">
        <v>48</v>
      </c>
      <c r="B9" s="15">
        <v>2964.51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826</v>
      </c>
      <c r="C15" s="16">
        <v>826</v>
      </c>
      <c r="D15" s="16">
        <v>2139</v>
      </c>
    </row>
    <row r="16" spans="1:4" x14ac:dyDescent="0.3">
      <c r="A16">
        <v>2024</v>
      </c>
      <c r="B16" s="16">
        <v>988</v>
      </c>
      <c r="C16" s="16">
        <v>1814</v>
      </c>
      <c r="D16" s="16">
        <v>1151</v>
      </c>
    </row>
    <row r="17" spans="1:4" x14ac:dyDescent="0.3">
      <c r="A17">
        <v>2025</v>
      </c>
      <c r="B17" s="16">
        <v>988</v>
      </c>
      <c r="C17" s="16">
        <v>2802</v>
      </c>
      <c r="D17" s="16">
        <v>163</v>
      </c>
    </row>
    <row r="18" spans="1:4" x14ac:dyDescent="0.3">
      <c r="A18">
        <v>2026</v>
      </c>
      <c r="B18" s="16">
        <v>162</v>
      </c>
      <c r="C18" s="16">
        <v>2964</v>
      </c>
      <c r="D18" s="16">
        <v>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4E2E5-CF72-4621-A22F-D30BCA77A681}">
  <sheetPr codeName="Feuil250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23</v>
      </c>
    </row>
    <row r="2" spans="1:4" ht="28.8" x14ac:dyDescent="0.3">
      <c r="A2" s="12" t="s">
        <v>52</v>
      </c>
      <c r="B2" s="13" t="s">
        <v>63</v>
      </c>
    </row>
    <row r="3" spans="1:4" ht="43.2" x14ac:dyDescent="0.3">
      <c r="A3" s="12" t="s">
        <v>47</v>
      </c>
      <c r="B3" s="13" t="s">
        <v>79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44991</v>
      </c>
    </row>
    <row r="7" spans="1:4" ht="28.8" x14ac:dyDescent="0.3">
      <c r="A7" s="12" t="s">
        <v>0</v>
      </c>
      <c r="B7" s="14">
        <v>44991</v>
      </c>
    </row>
    <row r="8" spans="1:4" ht="43.2" x14ac:dyDescent="0.3">
      <c r="A8" s="12" t="s">
        <v>3</v>
      </c>
      <c r="B8" s="14">
        <v>46087</v>
      </c>
    </row>
    <row r="9" spans="1:4" x14ac:dyDescent="0.3">
      <c r="A9" s="12" t="s">
        <v>48</v>
      </c>
      <c r="B9" s="15">
        <v>1663.68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456</v>
      </c>
      <c r="C15" s="16">
        <v>456</v>
      </c>
      <c r="D15" s="16">
        <v>1208</v>
      </c>
    </row>
    <row r="16" spans="1:4" x14ac:dyDescent="0.3">
      <c r="A16">
        <v>2024</v>
      </c>
      <c r="B16" s="16">
        <v>555</v>
      </c>
      <c r="C16" s="16">
        <v>1011</v>
      </c>
      <c r="D16" s="16">
        <v>653</v>
      </c>
    </row>
    <row r="17" spans="1:4" x14ac:dyDescent="0.3">
      <c r="A17">
        <v>2025</v>
      </c>
      <c r="B17" s="16">
        <v>555</v>
      </c>
      <c r="C17" s="16">
        <v>1566</v>
      </c>
      <c r="D17" s="16">
        <v>98</v>
      </c>
    </row>
    <row r="18" spans="1:4" x14ac:dyDescent="0.3">
      <c r="A18">
        <v>2026</v>
      </c>
      <c r="B18" s="16">
        <v>99</v>
      </c>
      <c r="C18" s="16">
        <v>1665</v>
      </c>
      <c r="D18" s="16">
        <v>-1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5FBBA7-CC6B-4B58-81EA-33A72BAB00A0}">
  <sheetPr codeName="Feuil251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24</v>
      </c>
    </row>
    <row r="2" spans="1:4" ht="28.8" x14ac:dyDescent="0.3">
      <c r="A2" s="12" t="s">
        <v>52</v>
      </c>
      <c r="B2" s="13" t="s">
        <v>45</v>
      </c>
    </row>
    <row r="3" spans="1:4" ht="43.2" x14ac:dyDescent="0.3">
      <c r="A3" s="12" t="s">
        <v>47</v>
      </c>
      <c r="B3" s="13"/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44998</v>
      </c>
    </row>
    <row r="7" spans="1:4" ht="28.8" x14ac:dyDescent="0.3">
      <c r="A7" s="12" t="s">
        <v>0</v>
      </c>
      <c r="B7" s="14">
        <v>44998</v>
      </c>
    </row>
    <row r="8" spans="1:4" ht="43.2" x14ac:dyDescent="0.3">
      <c r="A8" s="12" t="s">
        <v>3</v>
      </c>
      <c r="B8" s="14">
        <v>46094</v>
      </c>
    </row>
    <row r="9" spans="1:4" x14ac:dyDescent="0.3">
      <c r="A9" s="12" t="s">
        <v>48</v>
      </c>
      <c r="B9" s="15">
        <v>3010.79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806</v>
      </c>
      <c r="C15" s="16">
        <v>806</v>
      </c>
      <c r="D15" s="16">
        <v>2205</v>
      </c>
    </row>
    <row r="16" spans="1:4" x14ac:dyDescent="0.3">
      <c r="A16">
        <v>2024</v>
      </c>
      <c r="B16" s="16">
        <v>1004</v>
      </c>
      <c r="C16" s="16">
        <v>1810</v>
      </c>
      <c r="D16" s="16">
        <v>1201</v>
      </c>
    </row>
    <row r="17" spans="1:4" x14ac:dyDescent="0.3">
      <c r="A17">
        <v>2025</v>
      </c>
      <c r="B17" s="16">
        <v>1004</v>
      </c>
      <c r="C17" s="16">
        <v>2814</v>
      </c>
      <c r="D17" s="16">
        <v>197</v>
      </c>
    </row>
    <row r="18" spans="1:4" x14ac:dyDescent="0.3">
      <c r="A18">
        <v>2026</v>
      </c>
      <c r="B18" s="16">
        <v>198</v>
      </c>
      <c r="C18" s="16">
        <v>3012</v>
      </c>
      <c r="D18" s="16">
        <v>-1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8B5E8-BEB8-418E-B2C9-112788C9BD97}">
  <sheetPr codeName="Feuil252"/>
  <dimension ref="A1:D23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25</v>
      </c>
    </row>
    <row r="2" spans="1:4" ht="28.8" x14ac:dyDescent="0.3">
      <c r="A2" s="12" t="s">
        <v>52</v>
      </c>
      <c r="B2" s="13" t="s">
        <v>43</v>
      </c>
    </row>
    <row r="3" spans="1:4" ht="43.2" x14ac:dyDescent="0.3">
      <c r="A3" s="12" t="s">
        <v>47</v>
      </c>
      <c r="B3" s="13"/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45049</v>
      </c>
    </row>
    <row r="7" spans="1:4" ht="28.8" x14ac:dyDescent="0.3">
      <c r="A7" s="12" t="s">
        <v>0</v>
      </c>
      <c r="B7" s="14">
        <v>45049</v>
      </c>
    </row>
    <row r="8" spans="1:4" ht="43.2" x14ac:dyDescent="0.3">
      <c r="A8" s="12" t="s">
        <v>3</v>
      </c>
      <c r="B8" s="14">
        <v>47971</v>
      </c>
    </row>
    <row r="9" spans="1:4" x14ac:dyDescent="0.3">
      <c r="A9" s="12" t="s">
        <v>48</v>
      </c>
      <c r="B9" s="15">
        <v>12937.39</v>
      </c>
    </row>
    <row r="10" spans="1:4" ht="57.6" x14ac:dyDescent="0.3">
      <c r="A10" s="12" t="s">
        <v>49</v>
      </c>
      <c r="B10" s="13">
        <v>8</v>
      </c>
    </row>
    <row r="11" spans="1:4" x14ac:dyDescent="0.3">
      <c r="A11" s="12" t="s">
        <v>2</v>
      </c>
      <c r="B11" s="13">
        <v>12.5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1072</v>
      </c>
      <c r="C15" s="16">
        <v>1072</v>
      </c>
      <c r="D15" s="16">
        <v>11865</v>
      </c>
    </row>
    <row r="16" spans="1:4" x14ac:dyDescent="0.3">
      <c r="A16">
        <v>2024</v>
      </c>
      <c r="B16" s="16">
        <v>1617</v>
      </c>
      <c r="C16" s="16">
        <v>2689</v>
      </c>
      <c r="D16" s="16">
        <v>10248</v>
      </c>
    </row>
    <row r="17" spans="1:4" x14ac:dyDescent="0.3">
      <c r="A17">
        <v>2025</v>
      </c>
      <c r="B17" s="16">
        <v>1617</v>
      </c>
      <c r="C17" s="16">
        <v>4306</v>
      </c>
      <c r="D17" s="16">
        <v>8631</v>
      </c>
    </row>
    <row r="18" spans="1:4" x14ac:dyDescent="0.3">
      <c r="A18">
        <v>2026</v>
      </c>
      <c r="B18" s="16">
        <v>1617</v>
      </c>
      <c r="C18" s="16">
        <v>5923</v>
      </c>
      <c r="D18" s="16">
        <v>7014</v>
      </c>
    </row>
    <row r="19" spans="1:4" x14ac:dyDescent="0.3">
      <c r="A19">
        <v>2027</v>
      </c>
      <c r="B19" s="16">
        <v>1617</v>
      </c>
      <c r="C19" s="16">
        <v>7540</v>
      </c>
      <c r="D19" s="16">
        <v>5397</v>
      </c>
    </row>
    <row r="20" spans="1:4" x14ac:dyDescent="0.3">
      <c r="A20">
        <v>2028</v>
      </c>
      <c r="B20" s="16">
        <v>1617</v>
      </c>
      <c r="C20" s="16">
        <v>9157</v>
      </c>
      <c r="D20" s="16">
        <v>3780</v>
      </c>
    </row>
    <row r="21" spans="1:4" x14ac:dyDescent="0.3">
      <c r="A21">
        <v>2029</v>
      </c>
      <c r="B21" s="16">
        <v>1617</v>
      </c>
      <c r="C21" s="16">
        <v>10774</v>
      </c>
      <c r="D21" s="16">
        <v>2163</v>
      </c>
    </row>
    <row r="22" spans="1:4" x14ac:dyDescent="0.3">
      <c r="A22">
        <v>2030</v>
      </c>
      <c r="B22" s="16">
        <v>1617</v>
      </c>
      <c r="C22" s="16">
        <v>12391</v>
      </c>
      <c r="D22" s="16">
        <v>546</v>
      </c>
    </row>
    <row r="23" spans="1:4" x14ac:dyDescent="0.3">
      <c r="A23">
        <v>2031</v>
      </c>
      <c r="B23" s="16">
        <v>545</v>
      </c>
      <c r="C23" s="16">
        <v>12936</v>
      </c>
      <c r="D23" s="16">
        <v>1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F81B0-5E48-404D-8EA9-64868F40C7DE}">
  <sheetPr codeName="Feuil253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26</v>
      </c>
    </row>
    <row r="2" spans="1:4" ht="28.8" x14ac:dyDescent="0.3">
      <c r="A2" s="12" t="s">
        <v>52</v>
      </c>
      <c r="B2" s="13" t="s">
        <v>45</v>
      </c>
    </row>
    <row r="3" spans="1:4" ht="43.2" x14ac:dyDescent="0.3">
      <c r="A3" s="12" t="s">
        <v>47</v>
      </c>
      <c r="B3" s="13" t="s">
        <v>80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45068</v>
      </c>
    </row>
    <row r="7" spans="1:4" ht="28.8" x14ac:dyDescent="0.3">
      <c r="A7" s="12" t="s">
        <v>0</v>
      </c>
      <c r="B7" s="14">
        <v>45068</v>
      </c>
    </row>
    <row r="8" spans="1:4" ht="43.2" x14ac:dyDescent="0.3">
      <c r="A8" s="12" t="s">
        <v>3</v>
      </c>
      <c r="B8" s="14">
        <v>46164</v>
      </c>
    </row>
    <row r="9" spans="1:4" x14ac:dyDescent="0.3">
      <c r="A9" s="12" t="s">
        <v>48</v>
      </c>
      <c r="B9" s="15">
        <v>1124.02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229</v>
      </c>
      <c r="C15" s="16">
        <v>229</v>
      </c>
      <c r="D15" s="16">
        <v>895</v>
      </c>
    </row>
    <row r="16" spans="1:4" x14ac:dyDescent="0.3">
      <c r="A16">
        <v>2024</v>
      </c>
      <c r="B16" s="16">
        <v>375</v>
      </c>
      <c r="C16" s="16">
        <v>604</v>
      </c>
      <c r="D16" s="16">
        <v>520</v>
      </c>
    </row>
    <row r="17" spans="1:4" x14ac:dyDescent="0.3">
      <c r="A17">
        <v>2025</v>
      </c>
      <c r="B17" s="16">
        <v>375</v>
      </c>
      <c r="C17" s="16">
        <v>979</v>
      </c>
      <c r="D17" s="16">
        <v>145</v>
      </c>
    </row>
    <row r="18" spans="1:4" x14ac:dyDescent="0.3">
      <c r="A18">
        <v>2026</v>
      </c>
      <c r="B18" s="16">
        <v>146</v>
      </c>
      <c r="C18" s="16">
        <v>1125</v>
      </c>
      <c r="D18" s="16">
        <v>-1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BAF91-5CC0-4A45-82BD-8D4AC5AF6968}">
  <sheetPr codeName="Feuil254"/>
  <dimension ref="A1:D23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27</v>
      </c>
    </row>
    <row r="2" spans="1:4" ht="28.8" x14ac:dyDescent="0.3">
      <c r="A2" s="12" t="s">
        <v>52</v>
      </c>
      <c r="B2" s="13" t="s">
        <v>64</v>
      </c>
    </row>
    <row r="3" spans="1:4" ht="43.2" x14ac:dyDescent="0.3">
      <c r="A3" s="12" t="s">
        <v>47</v>
      </c>
      <c r="B3" s="13" t="s">
        <v>81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45247</v>
      </c>
    </row>
    <row r="7" spans="1:4" ht="28.8" x14ac:dyDescent="0.3">
      <c r="A7" s="12" t="s">
        <v>0</v>
      </c>
      <c r="B7" s="14">
        <v>45247</v>
      </c>
    </row>
    <row r="8" spans="1:4" ht="43.2" x14ac:dyDescent="0.3">
      <c r="A8" s="12" t="s">
        <v>3</v>
      </c>
      <c r="B8" s="14">
        <v>48169</v>
      </c>
    </row>
    <row r="9" spans="1:4" x14ac:dyDescent="0.3">
      <c r="A9" s="12" t="s">
        <v>48</v>
      </c>
      <c r="B9" s="15">
        <v>13088.3</v>
      </c>
    </row>
    <row r="10" spans="1:4" ht="57.6" x14ac:dyDescent="0.3">
      <c r="A10" s="12" t="s">
        <v>49</v>
      </c>
      <c r="B10" s="13">
        <v>8</v>
      </c>
    </row>
    <row r="11" spans="1:4" x14ac:dyDescent="0.3">
      <c r="A11" s="12" t="s">
        <v>2</v>
      </c>
      <c r="B11" s="13">
        <v>12.5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197</v>
      </c>
      <c r="C15" s="16">
        <v>197</v>
      </c>
      <c r="D15" s="16">
        <v>12891</v>
      </c>
    </row>
    <row r="16" spans="1:4" x14ac:dyDescent="0.3">
      <c r="A16">
        <v>2024</v>
      </c>
      <c r="B16" s="16">
        <v>1636</v>
      </c>
      <c r="C16" s="16">
        <v>1833</v>
      </c>
      <c r="D16" s="16">
        <v>11255</v>
      </c>
    </row>
    <row r="17" spans="1:4" x14ac:dyDescent="0.3">
      <c r="A17">
        <v>2025</v>
      </c>
      <c r="B17" s="16">
        <v>1636</v>
      </c>
      <c r="C17" s="16">
        <v>3469</v>
      </c>
      <c r="D17" s="16">
        <v>9619</v>
      </c>
    </row>
    <row r="18" spans="1:4" x14ac:dyDescent="0.3">
      <c r="A18">
        <v>2026</v>
      </c>
      <c r="B18" s="16">
        <v>1636</v>
      </c>
      <c r="C18" s="16">
        <v>5105</v>
      </c>
      <c r="D18" s="16">
        <v>7983</v>
      </c>
    </row>
    <row r="19" spans="1:4" x14ac:dyDescent="0.3">
      <c r="A19">
        <v>2027</v>
      </c>
      <c r="B19" s="16">
        <v>1636</v>
      </c>
      <c r="C19" s="16">
        <v>6741</v>
      </c>
      <c r="D19" s="16">
        <v>6347</v>
      </c>
    </row>
    <row r="20" spans="1:4" x14ac:dyDescent="0.3">
      <c r="A20">
        <v>2028</v>
      </c>
      <c r="B20" s="16">
        <v>1636</v>
      </c>
      <c r="C20" s="16">
        <v>8377</v>
      </c>
      <c r="D20" s="16">
        <v>4711</v>
      </c>
    </row>
    <row r="21" spans="1:4" x14ac:dyDescent="0.3">
      <c r="A21">
        <v>2029</v>
      </c>
      <c r="B21" s="16">
        <v>1636</v>
      </c>
      <c r="C21" s="16">
        <v>10013</v>
      </c>
      <c r="D21" s="16">
        <v>3075</v>
      </c>
    </row>
    <row r="22" spans="1:4" x14ac:dyDescent="0.3">
      <c r="A22">
        <v>2030</v>
      </c>
      <c r="B22" s="16">
        <v>1636</v>
      </c>
      <c r="C22" s="16">
        <v>11649</v>
      </c>
      <c r="D22" s="16">
        <v>1439</v>
      </c>
    </row>
    <row r="23" spans="1:4" x14ac:dyDescent="0.3">
      <c r="A23">
        <v>2031</v>
      </c>
      <c r="B23" s="16">
        <v>1439</v>
      </c>
      <c r="C23" s="16">
        <v>13088</v>
      </c>
      <c r="D23" s="16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4C243-B354-42AF-AEF4-36C21039E7AE}">
  <sheetPr codeName="Feuil255"/>
  <dimension ref="A1:D20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28</v>
      </c>
    </row>
    <row r="2" spans="1:4" ht="28.8" x14ac:dyDescent="0.3">
      <c r="A2" s="12" t="s">
        <v>52</v>
      </c>
      <c r="B2" s="13" t="s">
        <v>45</v>
      </c>
    </row>
    <row r="3" spans="1:4" ht="43.2" x14ac:dyDescent="0.3">
      <c r="A3" s="12" t="s">
        <v>47</v>
      </c>
      <c r="B3" s="13"/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45301</v>
      </c>
    </row>
    <row r="7" spans="1:4" ht="28.8" x14ac:dyDescent="0.3">
      <c r="A7" s="12" t="s">
        <v>0</v>
      </c>
      <c r="B7" s="14">
        <v>45301</v>
      </c>
    </row>
    <row r="8" spans="1:4" ht="43.2" x14ac:dyDescent="0.3">
      <c r="A8" s="12" t="s">
        <v>3</v>
      </c>
      <c r="B8" s="14">
        <v>47128</v>
      </c>
    </row>
    <row r="9" spans="1:4" x14ac:dyDescent="0.3">
      <c r="A9" s="12" t="s">
        <v>48</v>
      </c>
      <c r="B9" s="15">
        <v>3778.42</v>
      </c>
    </row>
    <row r="10" spans="1:4" ht="57.6" x14ac:dyDescent="0.3">
      <c r="A10" s="12" t="s">
        <v>49</v>
      </c>
      <c r="B10" s="13">
        <v>5</v>
      </c>
    </row>
    <row r="11" spans="1:4" x14ac:dyDescent="0.3">
      <c r="A11" s="12" t="s">
        <v>2</v>
      </c>
      <c r="B11" s="13">
        <v>20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737</v>
      </c>
      <c r="C15" s="16">
        <v>737</v>
      </c>
      <c r="D15" s="16">
        <v>3041</v>
      </c>
    </row>
    <row r="16" spans="1:4" x14ac:dyDescent="0.3">
      <c r="A16">
        <v>2025</v>
      </c>
      <c r="B16" s="16">
        <v>756</v>
      </c>
      <c r="C16" s="16">
        <v>1493</v>
      </c>
      <c r="D16" s="16">
        <v>2285</v>
      </c>
    </row>
    <row r="17" spans="1:4" x14ac:dyDescent="0.3">
      <c r="A17">
        <v>2026</v>
      </c>
      <c r="B17" s="16">
        <v>756</v>
      </c>
      <c r="C17" s="16">
        <v>2249</v>
      </c>
      <c r="D17" s="16">
        <v>1529</v>
      </c>
    </row>
    <row r="18" spans="1:4" x14ac:dyDescent="0.3">
      <c r="A18">
        <v>2027</v>
      </c>
      <c r="B18" s="16">
        <v>756</v>
      </c>
      <c r="C18" s="16">
        <v>3005</v>
      </c>
      <c r="D18" s="16">
        <v>773</v>
      </c>
    </row>
    <row r="19" spans="1:4" x14ac:dyDescent="0.3">
      <c r="A19">
        <v>2028</v>
      </c>
      <c r="B19" s="16">
        <v>756</v>
      </c>
      <c r="C19" s="16">
        <v>3761</v>
      </c>
      <c r="D19" s="16">
        <v>17</v>
      </c>
    </row>
    <row r="20" spans="1:4" x14ac:dyDescent="0.3">
      <c r="A20">
        <v>2029</v>
      </c>
      <c r="B20" s="16">
        <v>21</v>
      </c>
      <c r="C20" s="16">
        <v>3782</v>
      </c>
      <c r="D20" s="16">
        <v>-4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A4321-8A41-4037-B17C-36CF670C0A61}">
  <sheetPr codeName="Feuil256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29</v>
      </c>
    </row>
    <row r="2" spans="1:4" ht="28.8" x14ac:dyDescent="0.3">
      <c r="A2" s="12" t="s">
        <v>52</v>
      </c>
      <c r="B2" s="13" t="s">
        <v>46</v>
      </c>
    </row>
    <row r="3" spans="1:4" ht="43.2" x14ac:dyDescent="0.3">
      <c r="A3" s="12" t="s">
        <v>47</v>
      </c>
      <c r="B3" s="13"/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45611</v>
      </c>
    </row>
    <row r="7" spans="1:4" ht="28.8" x14ac:dyDescent="0.3">
      <c r="A7" s="12" t="s">
        <v>0</v>
      </c>
      <c r="B7" s="14">
        <v>45611</v>
      </c>
    </row>
    <row r="8" spans="1:4" ht="43.2" x14ac:dyDescent="0.3">
      <c r="A8" s="12" t="s">
        <v>3</v>
      </c>
      <c r="B8" s="14">
        <v>46706</v>
      </c>
    </row>
    <row r="9" spans="1:4" x14ac:dyDescent="0.3">
      <c r="A9" s="12" t="s">
        <v>48</v>
      </c>
      <c r="B9" s="15">
        <v>589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25</v>
      </c>
      <c r="C15" s="16">
        <v>25</v>
      </c>
      <c r="D15" s="16">
        <v>564</v>
      </c>
    </row>
    <row r="16" spans="1:4" x14ac:dyDescent="0.3">
      <c r="A16">
        <v>2025</v>
      </c>
      <c r="B16" s="16">
        <v>196</v>
      </c>
      <c r="C16" s="16">
        <v>221</v>
      </c>
      <c r="D16" s="16">
        <v>368</v>
      </c>
    </row>
    <row r="17" spans="1:4" x14ac:dyDescent="0.3">
      <c r="A17">
        <v>2026</v>
      </c>
      <c r="B17" s="16">
        <v>196</v>
      </c>
      <c r="C17" s="16">
        <v>417</v>
      </c>
      <c r="D17" s="16">
        <v>172</v>
      </c>
    </row>
    <row r="18" spans="1:4" x14ac:dyDescent="0.3">
      <c r="A18">
        <v>2027</v>
      </c>
      <c r="B18" s="16">
        <v>172</v>
      </c>
      <c r="C18" s="16">
        <v>589</v>
      </c>
      <c r="D18" s="16">
        <v>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1AF14-0B27-40B3-AEAD-A580554B7B0C}">
  <sheetPr codeName="Feuil257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30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82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44911</v>
      </c>
    </row>
    <row r="7" spans="1:4" ht="28.8" x14ac:dyDescent="0.3">
      <c r="A7" s="12" t="s">
        <v>0</v>
      </c>
      <c r="B7" s="14">
        <v>44911</v>
      </c>
    </row>
    <row r="8" spans="1:4" ht="43.2" x14ac:dyDescent="0.3">
      <c r="A8" s="12" t="s">
        <v>3</v>
      </c>
      <c r="B8" s="14">
        <v>46007</v>
      </c>
    </row>
    <row r="9" spans="1:4" x14ac:dyDescent="0.3">
      <c r="A9" s="12" t="s">
        <v>48</v>
      </c>
      <c r="B9" s="15">
        <v>5473.75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2022</v>
      </c>
      <c r="B15" s="16">
        <v>75</v>
      </c>
      <c r="C15" s="16">
        <v>75</v>
      </c>
      <c r="D15" s="16">
        <v>5399</v>
      </c>
    </row>
    <row r="16" spans="1:4" x14ac:dyDescent="0.3">
      <c r="A16">
        <v>2023</v>
      </c>
      <c r="B16" s="16">
        <v>1825</v>
      </c>
      <c r="C16" s="16">
        <v>1900</v>
      </c>
      <c r="D16" s="16">
        <v>3574</v>
      </c>
    </row>
    <row r="17" spans="1:4" x14ac:dyDescent="0.3">
      <c r="A17">
        <v>2024</v>
      </c>
      <c r="B17" s="16">
        <v>1825</v>
      </c>
      <c r="C17" s="16">
        <v>3725</v>
      </c>
      <c r="D17" s="16">
        <v>1749</v>
      </c>
    </row>
    <row r="18" spans="1:4" x14ac:dyDescent="0.3">
      <c r="A18">
        <v>2025</v>
      </c>
      <c r="B18" s="16">
        <v>1750</v>
      </c>
      <c r="C18" s="16">
        <v>5475</v>
      </c>
      <c r="D18" s="16">
        <v>-1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AA4B2A-4FC6-4124-B584-B4715A91C25B}">
  <sheetPr codeName="Feuil258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31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83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45021</v>
      </c>
    </row>
    <row r="7" spans="1:4" ht="28.8" x14ac:dyDescent="0.3">
      <c r="A7" s="12" t="s">
        <v>0</v>
      </c>
      <c r="B7" s="14">
        <v>45021</v>
      </c>
    </row>
    <row r="8" spans="1:4" ht="43.2" x14ac:dyDescent="0.3">
      <c r="A8" s="12" t="s">
        <v>3</v>
      </c>
      <c r="B8" s="14">
        <v>46117</v>
      </c>
    </row>
    <row r="9" spans="1:4" x14ac:dyDescent="0.3">
      <c r="A9" s="12" t="s">
        <v>48</v>
      </c>
      <c r="B9" s="15">
        <v>662.5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163</v>
      </c>
      <c r="C15" s="16">
        <v>163</v>
      </c>
      <c r="D15" s="16">
        <v>500</v>
      </c>
    </row>
    <row r="16" spans="1:4" x14ac:dyDescent="0.3">
      <c r="A16">
        <v>2024</v>
      </c>
      <c r="B16" s="16">
        <v>221</v>
      </c>
      <c r="C16" s="16">
        <v>384</v>
      </c>
      <c r="D16" s="16">
        <v>278</v>
      </c>
    </row>
    <row r="17" spans="1:4" x14ac:dyDescent="0.3">
      <c r="A17">
        <v>2025</v>
      </c>
      <c r="B17" s="16">
        <v>221</v>
      </c>
      <c r="C17" s="16">
        <v>605</v>
      </c>
      <c r="D17" s="16">
        <v>58</v>
      </c>
    </row>
    <row r="18" spans="1:4" x14ac:dyDescent="0.3">
      <c r="A18">
        <v>2026</v>
      </c>
      <c r="B18" s="16">
        <v>57</v>
      </c>
      <c r="C18" s="16">
        <v>662</v>
      </c>
      <c r="D18" s="16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8CA16D-BF81-4389-8863-0839E42FC3EF}">
  <sheetPr codeName="Feuil259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32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84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45055</v>
      </c>
    </row>
    <row r="7" spans="1:4" ht="28.8" x14ac:dyDescent="0.3">
      <c r="A7" s="12" t="s">
        <v>0</v>
      </c>
      <c r="B7" s="14">
        <v>45055</v>
      </c>
    </row>
    <row r="8" spans="1:4" ht="43.2" x14ac:dyDescent="0.3">
      <c r="A8" s="12" t="s">
        <v>3</v>
      </c>
      <c r="B8" s="14">
        <v>46151</v>
      </c>
    </row>
    <row r="9" spans="1:4" x14ac:dyDescent="0.3">
      <c r="A9" s="12" t="s">
        <v>48</v>
      </c>
      <c r="B9" s="15">
        <v>3940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849</v>
      </c>
      <c r="C15" s="16">
        <v>849</v>
      </c>
      <c r="D15" s="16">
        <v>3091</v>
      </c>
    </row>
    <row r="16" spans="1:4" x14ac:dyDescent="0.3">
      <c r="A16">
        <v>2024</v>
      </c>
      <c r="B16" s="16">
        <v>1313</v>
      </c>
      <c r="C16" s="16">
        <v>2162</v>
      </c>
      <c r="D16" s="16">
        <v>1778</v>
      </c>
    </row>
    <row r="17" spans="1:4" x14ac:dyDescent="0.3">
      <c r="A17">
        <v>2025</v>
      </c>
      <c r="B17" s="16">
        <v>1313</v>
      </c>
      <c r="C17" s="16">
        <v>3475</v>
      </c>
      <c r="D17" s="16">
        <v>465</v>
      </c>
    </row>
    <row r="18" spans="1:4" x14ac:dyDescent="0.3">
      <c r="A18">
        <v>2026</v>
      </c>
      <c r="B18" s="16">
        <v>464</v>
      </c>
      <c r="C18" s="16">
        <v>3939</v>
      </c>
      <c r="D18" s="16">
        <v>1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50A9E-EF23-4508-B0B8-C01559E1122B}">
  <sheetPr codeName="Feuil260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33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85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45133</v>
      </c>
    </row>
    <row r="7" spans="1:4" ht="28.8" x14ac:dyDescent="0.3">
      <c r="A7" s="12" t="s">
        <v>0</v>
      </c>
      <c r="B7" s="14">
        <v>45133</v>
      </c>
    </row>
    <row r="8" spans="1:4" ht="43.2" x14ac:dyDescent="0.3">
      <c r="A8" s="12" t="s">
        <v>3</v>
      </c>
      <c r="B8" s="14">
        <v>46229</v>
      </c>
    </row>
    <row r="9" spans="1:4" x14ac:dyDescent="0.3">
      <c r="A9" s="12" t="s">
        <v>48</v>
      </c>
      <c r="B9" s="15">
        <v>4247.74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613</v>
      </c>
      <c r="C15" s="16">
        <v>613</v>
      </c>
      <c r="D15" s="16">
        <v>3635</v>
      </c>
    </row>
    <row r="16" spans="1:4" x14ac:dyDescent="0.3">
      <c r="A16">
        <v>2024</v>
      </c>
      <c r="B16" s="16">
        <v>1416</v>
      </c>
      <c r="C16" s="16">
        <v>2029</v>
      </c>
      <c r="D16" s="16">
        <v>2219</v>
      </c>
    </row>
    <row r="17" spans="1:4" x14ac:dyDescent="0.3">
      <c r="A17">
        <v>2025</v>
      </c>
      <c r="B17" s="16">
        <v>1416</v>
      </c>
      <c r="C17" s="16">
        <v>3445</v>
      </c>
      <c r="D17" s="16">
        <v>803</v>
      </c>
    </row>
    <row r="18" spans="1:4" x14ac:dyDescent="0.3">
      <c r="A18">
        <v>2026</v>
      </c>
      <c r="B18" s="16">
        <v>803</v>
      </c>
      <c r="C18" s="16">
        <v>4248</v>
      </c>
      <c r="D18" s="16">
        <v>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1C6EAF-9F40-4B97-BC16-F12AEE8C2346}">
  <sheetPr codeName="Feuil261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34</v>
      </c>
    </row>
    <row r="2" spans="1:4" ht="28.8" x14ac:dyDescent="0.3">
      <c r="A2" s="12" t="s">
        <v>52</v>
      </c>
      <c r="B2" s="13" t="s">
        <v>65</v>
      </c>
    </row>
    <row r="3" spans="1:4" ht="43.2" x14ac:dyDescent="0.3">
      <c r="A3" s="12" t="s">
        <v>47</v>
      </c>
      <c r="B3" s="13" t="s">
        <v>86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45184</v>
      </c>
    </row>
    <row r="7" spans="1:4" ht="28.8" x14ac:dyDescent="0.3">
      <c r="A7" s="12" t="s">
        <v>0</v>
      </c>
      <c r="B7" s="14">
        <v>45184</v>
      </c>
    </row>
    <row r="8" spans="1:4" ht="43.2" x14ac:dyDescent="0.3">
      <c r="A8" s="12" t="s">
        <v>3</v>
      </c>
      <c r="B8" s="14">
        <v>46280</v>
      </c>
    </row>
    <row r="9" spans="1:4" x14ac:dyDescent="0.3">
      <c r="A9" s="12" t="s">
        <v>48</v>
      </c>
      <c r="B9" s="15">
        <v>1070.6600000000001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105</v>
      </c>
      <c r="C15" s="16">
        <v>105</v>
      </c>
      <c r="D15" s="16">
        <v>966</v>
      </c>
    </row>
    <row r="16" spans="1:4" x14ac:dyDescent="0.3">
      <c r="A16">
        <v>2024</v>
      </c>
      <c r="B16" s="16">
        <v>357</v>
      </c>
      <c r="C16" s="16">
        <v>462</v>
      </c>
      <c r="D16" s="16">
        <v>609</v>
      </c>
    </row>
    <row r="17" spans="1:4" x14ac:dyDescent="0.3">
      <c r="A17">
        <v>2025</v>
      </c>
      <c r="B17" s="16">
        <v>357</v>
      </c>
      <c r="C17" s="16">
        <v>819</v>
      </c>
      <c r="D17" s="16">
        <v>252</v>
      </c>
    </row>
    <row r="18" spans="1:4" x14ac:dyDescent="0.3">
      <c r="A18">
        <v>2026</v>
      </c>
      <c r="B18" s="16">
        <v>252</v>
      </c>
      <c r="C18" s="16">
        <v>1071</v>
      </c>
      <c r="D18" s="16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9ADC8-2A05-437C-AC68-DCDBAD532767}">
  <sheetPr codeName="Feuil262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35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87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45231</v>
      </c>
    </row>
    <row r="7" spans="1:4" ht="28.8" x14ac:dyDescent="0.3">
      <c r="A7" s="12" t="s">
        <v>0</v>
      </c>
      <c r="B7" s="14">
        <v>45231</v>
      </c>
    </row>
    <row r="8" spans="1:4" ht="43.2" x14ac:dyDescent="0.3">
      <c r="A8" s="12" t="s">
        <v>3</v>
      </c>
      <c r="B8" s="14">
        <v>46327</v>
      </c>
    </row>
    <row r="9" spans="1:4" x14ac:dyDescent="0.3">
      <c r="A9" s="12" t="s">
        <v>48</v>
      </c>
      <c r="B9" s="15">
        <v>1668.75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2023</v>
      </c>
      <c r="B15" s="16">
        <v>91</v>
      </c>
      <c r="C15" s="16">
        <v>91</v>
      </c>
      <c r="D15" s="16">
        <v>1578</v>
      </c>
    </row>
    <row r="16" spans="1:4" x14ac:dyDescent="0.3">
      <c r="A16">
        <v>2024</v>
      </c>
      <c r="B16" s="16">
        <v>556</v>
      </c>
      <c r="C16" s="16">
        <v>647</v>
      </c>
      <c r="D16" s="16">
        <v>1022</v>
      </c>
    </row>
    <row r="17" spans="1:4" x14ac:dyDescent="0.3">
      <c r="A17">
        <v>2025</v>
      </c>
      <c r="B17" s="16">
        <v>556</v>
      </c>
      <c r="C17" s="16">
        <v>1203</v>
      </c>
      <c r="D17" s="16">
        <v>466</v>
      </c>
    </row>
    <row r="18" spans="1:4" x14ac:dyDescent="0.3">
      <c r="A18">
        <v>2026</v>
      </c>
      <c r="B18" s="16">
        <v>465</v>
      </c>
      <c r="C18" s="16">
        <v>1668</v>
      </c>
      <c r="D18" s="16">
        <v>1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AC42D-C8C9-41EF-B270-D4677D2A95C2}">
  <sheetPr codeName="Feuil263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36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88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45414</v>
      </c>
    </row>
    <row r="7" spans="1:4" ht="28.8" x14ac:dyDescent="0.3">
      <c r="A7" s="12" t="s">
        <v>0</v>
      </c>
      <c r="B7" s="14">
        <v>45414</v>
      </c>
    </row>
    <row r="8" spans="1:4" ht="43.2" x14ac:dyDescent="0.3">
      <c r="A8" s="12" t="s">
        <v>3</v>
      </c>
      <c r="B8" s="14">
        <v>46509</v>
      </c>
    </row>
    <row r="9" spans="1:4" x14ac:dyDescent="0.3">
      <c r="A9" s="12" t="s">
        <v>48</v>
      </c>
      <c r="B9" s="15">
        <v>1249.25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277</v>
      </c>
      <c r="C15" s="16">
        <v>277</v>
      </c>
      <c r="D15" s="16">
        <v>972</v>
      </c>
    </row>
    <row r="16" spans="1:4" x14ac:dyDescent="0.3">
      <c r="A16">
        <v>2025</v>
      </c>
      <c r="B16" s="16">
        <v>416</v>
      </c>
      <c r="C16" s="16">
        <v>693</v>
      </c>
      <c r="D16" s="16">
        <v>556</v>
      </c>
    </row>
    <row r="17" spans="1:4" x14ac:dyDescent="0.3">
      <c r="A17">
        <v>2026</v>
      </c>
      <c r="B17" s="16">
        <v>416</v>
      </c>
      <c r="C17" s="16">
        <v>1109</v>
      </c>
      <c r="D17" s="16">
        <v>140</v>
      </c>
    </row>
    <row r="18" spans="1:4" x14ac:dyDescent="0.3">
      <c r="A18">
        <v>2027</v>
      </c>
      <c r="B18" s="16">
        <v>139</v>
      </c>
      <c r="C18" s="16">
        <v>1248</v>
      </c>
      <c r="D18" s="16">
        <v>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4EE42-700C-4542-8416-CE05DCEF1E8A}">
  <sheetPr codeName="Feuil264"/>
  <dimension ref="A1:D18"/>
  <sheetViews>
    <sheetView tabSelected="1" workbookViewId="0">
      <selection activeCell="J12" sqref="J12"/>
    </sheetView>
  </sheetViews>
  <sheetFormatPr baseColWidth="10" defaultRowHeight="14.4" x14ac:dyDescent="0.3"/>
  <sheetData>
    <row r="1" spans="1:4" x14ac:dyDescent="0.3">
      <c r="A1" s="12" t="s">
        <v>50</v>
      </c>
      <c r="B1" s="13" t="s">
        <v>37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89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45414</v>
      </c>
    </row>
    <row r="7" spans="1:4" ht="28.8" x14ac:dyDescent="0.3">
      <c r="A7" s="12" t="s">
        <v>0</v>
      </c>
      <c r="B7" s="14">
        <v>45414</v>
      </c>
    </row>
    <row r="8" spans="1:4" ht="43.2" x14ac:dyDescent="0.3">
      <c r="A8" s="12" t="s">
        <v>3</v>
      </c>
      <c r="B8" s="14">
        <v>46509</v>
      </c>
    </row>
    <row r="9" spans="1:4" x14ac:dyDescent="0.3">
      <c r="A9" s="12" t="s">
        <v>48</v>
      </c>
      <c r="B9" s="15">
        <v>1202.5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267</v>
      </c>
      <c r="C15" s="16">
        <v>267</v>
      </c>
      <c r="D15" s="16">
        <v>936</v>
      </c>
    </row>
    <row r="16" spans="1:4" x14ac:dyDescent="0.3">
      <c r="A16">
        <v>2025</v>
      </c>
      <c r="B16" s="16">
        <v>401</v>
      </c>
      <c r="C16" s="16">
        <v>668</v>
      </c>
      <c r="D16" s="16">
        <v>534</v>
      </c>
    </row>
    <row r="17" spans="1:4" x14ac:dyDescent="0.3">
      <c r="A17">
        <v>2026</v>
      </c>
      <c r="B17" s="16">
        <v>401</v>
      </c>
      <c r="C17" s="16">
        <v>1069</v>
      </c>
      <c r="D17" s="16">
        <v>134</v>
      </c>
    </row>
    <row r="18" spans="1:4" x14ac:dyDescent="0.3">
      <c r="A18">
        <v>2027</v>
      </c>
      <c r="B18" s="16">
        <v>134</v>
      </c>
      <c r="C18" s="16">
        <v>1203</v>
      </c>
      <c r="D18" s="16">
        <v>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4AD5D-5DA8-4DC9-9F10-B0E5D1577F12}">
  <sheetPr codeName="Feuil265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38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90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45481</v>
      </c>
    </row>
    <row r="7" spans="1:4" ht="28.8" x14ac:dyDescent="0.3">
      <c r="A7" s="12" t="s">
        <v>0</v>
      </c>
      <c r="B7" s="14">
        <v>45481</v>
      </c>
    </row>
    <row r="8" spans="1:4" ht="43.2" x14ac:dyDescent="0.3">
      <c r="A8" s="12" t="s">
        <v>3</v>
      </c>
      <c r="B8" s="14">
        <v>46576</v>
      </c>
    </row>
    <row r="9" spans="1:4" x14ac:dyDescent="0.3">
      <c r="A9" s="12" t="s">
        <v>48</v>
      </c>
      <c r="B9" s="15">
        <v>1413.53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227</v>
      </c>
      <c r="C15" s="16">
        <v>227</v>
      </c>
      <c r="D15" s="16">
        <v>1187</v>
      </c>
    </row>
    <row r="16" spans="1:4" x14ac:dyDescent="0.3">
      <c r="A16">
        <v>2025</v>
      </c>
      <c r="B16" s="16">
        <v>471</v>
      </c>
      <c r="C16" s="16">
        <v>698</v>
      </c>
      <c r="D16" s="16">
        <v>716</v>
      </c>
    </row>
    <row r="17" spans="1:4" x14ac:dyDescent="0.3">
      <c r="A17">
        <v>2026</v>
      </c>
      <c r="B17" s="16">
        <v>471</v>
      </c>
      <c r="C17" s="16">
        <v>1169</v>
      </c>
      <c r="D17" s="16">
        <v>245</v>
      </c>
    </row>
    <row r="18" spans="1:4" x14ac:dyDescent="0.3">
      <c r="A18">
        <v>2027</v>
      </c>
      <c r="B18" s="16">
        <v>244</v>
      </c>
      <c r="C18" s="16">
        <v>1413</v>
      </c>
      <c r="D18" s="16">
        <v>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8B67E-8189-4DB9-8211-17D53CA8DBFA}">
  <sheetPr codeName="Feuil266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39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88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45481</v>
      </c>
    </row>
    <row r="7" spans="1:4" ht="28.8" x14ac:dyDescent="0.3">
      <c r="A7" s="12" t="s">
        <v>0</v>
      </c>
      <c r="B7" s="14">
        <v>45481</v>
      </c>
    </row>
    <row r="8" spans="1:4" ht="43.2" x14ac:dyDescent="0.3">
      <c r="A8" s="12" t="s">
        <v>3</v>
      </c>
      <c r="B8" s="14">
        <v>46576</v>
      </c>
    </row>
    <row r="9" spans="1:4" x14ac:dyDescent="0.3">
      <c r="A9" s="12" t="s">
        <v>48</v>
      </c>
      <c r="B9" s="15">
        <v>1056.75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170</v>
      </c>
      <c r="C15" s="16">
        <v>170</v>
      </c>
      <c r="D15" s="16">
        <v>887</v>
      </c>
    </row>
    <row r="16" spans="1:4" x14ac:dyDescent="0.3">
      <c r="A16">
        <v>2025</v>
      </c>
      <c r="B16" s="16">
        <v>352</v>
      </c>
      <c r="C16" s="16">
        <v>522</v>
      </c>
      <c r="D16" s="16">
        <v>535</v>
      </c>
    </row>
    <row r="17" spans="1:4" x14ac:dyDescent="0.3">
      <c r="A17">
        <v>2026</v>
      </c>
      <c r="B17" s="16">
        <v>352</v>
      </c>
      <c r="C17" s="16">
        <v>874</v>
      </c>
      <c r="D17" s="16">
        <v>183</v>
      </c>
    </row>
    <row r="18" spans="1:4" x14ac:dyDescent="0.3">
      <c r="A18">
        <v>2027</v>
      </c>
      <c r="B18" s="16">
        <v>182</v>
      </c>
      <c r="C18" s="16">
        <v>1056</v>
      </c>
      <c r="D18" s="16">
        <v>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B212C-190A-4DEE-821A-5A9AB9A9AF72}">
  <sheetPr codeName="Feuil267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40</v>
      </c>
    </row>
    <row r="2" spans="1:4" ht="28.8" x14ac:dyDescent="0.3">
      <c r="A2" s="12" t="s">
        <v>52</v>
      </c>
      <c r="B2" s="13" t="s">
        <v>66</v>
      </c>
    </row>
    <row r="3" spans="1:4" ht="43.2" x14ac:dyDescent="0.3">
      <c r="A3" s="12" t="s">
        <v>47</v>
      </c>
      <c r="B3" s="13" t="s">
        <v>91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45491</v>
      </c>
    </row>
    <row r="7" spans="1:4" ht="28.8" x14ac:dyDescent="0.3">
      <c r="A7" s="12" t="s">
        <v>0</v>
      </c>
      <c r="B7" s="14">
        <v>45491</v>
      </c>
    </row>
    <row r="8" spans="1:4" ht="43.2" x14ac:dyDescent="0.3">
      <c r="A8" s="12" t="s">
        <v>3</v>
      </c>
      <c r="B8" s="14">
        <v>46586</v>
      </c>
    </row>
    <row r="9" spans="1:4" x14ac:dyDescent="0.3">
      <c r="A9" s="12" t="s">
        <v>48</v>
      </c>
      <c r="B9" s="15">
        <v>633.32000000000005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96</v>
      </c>
      <c r="C15" s="16">
        <v>96</v>
      </c>
      <c r="D15" s="16">
        <v>537</v>
      </c>
    </row>
    <row r="16" spans="1:4" x14ac:dyDescent="0.3">
      <c r="A16">
        <v>2025</v>
      </c>
      <c r="B16" s="16">
        <v>211</v>
      </c>
      <c r="C16" s="16">
        <v>307</v>
      </c>
      <c r="D16" s="16">
        <v>326</v>
      </c>
    </row>
    <row r="17" spans="1:4" x14ac:dyDescent="0.3">
      <c r="A17">
        <v>2026</v>
      </c>
      <c r="B17" s="16">
        <v>211</v>
      </c>
      <c r="C17" s="16">
        <v>518</v>
      </c>
      <c r="D17" s="16">
        <v>115</v>
      </c>
    </row>
    <row r="18" spans="1:4" x14ac:dyDescent="0.3">
      <c r="A18">
        <v>2027</v>
      </c>
      <c r="B18" s="16">
        <v>115</v>
      </c>
      <c r="C18" s="16">
        <v>633</v>
      </c>
      <c r="D18" s="16">
        <v>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318A2-1773-4D18-A898-4C064A6B482D}">
  <sheetPr codeName="Feuil268"/>
  <dimension ref="A1:D18"/>
  <sheetViews>
    <sheetView workbookViewId="0"/>
  </sheetViews>
  <sheetFormatPr baseColWidth="10" defaultRowHeight="14.4" x14ac:dyDescent="0.3"/>
  <sheetData>
    <row r="1" spans="1:4" x14ac:dyDescent="0.3">
      <c r="A1" s="12" t="s">
        <v>50</v>
      </c>
      <c r="B1" s="13" t="s">
        <v>41</v>
      </c>
    </row>
    <row r="2" spans="1:4" ht="28.8" x14ac:dyDescent="0.3">
      <c r="A2" s="12" t="s">
        <v>52</v>
      </c>
      <c r="B2" s="13" t="s">
        <v>54</v>
      </c>
    </row>
    <row r="3" spans="1:4" ht="43.2" x14ac:dyDescent="0.3">
      <c r="A3" s="12" t="s">
        <v>47</v>
      </c>
      <c r="B3" s="13" t="s">
        <v>92</v>
      </c>
    </row>
    <row r="4" spans="1:4" ht="28.8" x14ac:dyDescent="0.3">
      <c r="A4" s="12" t="s">
        <v>93</v>
      </c>
      <c r="B4" s="13"/>
    </row>
    <row r="5" spans="1:4" x14ac:dyDescent="0.3">
      <c r="A5" s="12" t="s">
        <v>53</v>
      </c>
      <c r="B5" s="13"/>
    </row>
    <row r="6" spans="1:4" x14ac:dyDescent="0.3">
      <c r="A6" s="12" t="s">
        <v>51</v>
      </c>
      <c r="B6" s="14">
        <v>45574</v>
      </c>
    </row>
    <row r="7" spans="1:4" ht="28.8" x14ac:dyDescent="0.3">
      <c r="A7" s="12" t="s">
        <v>0</v>
      </c>
      <c r="B7" s="14">
        <v>45574</v>
      </c>
    </row>
    <row r="8" spans="1:4" ht="43.2" x14ac:dyDescent="0.3">
      <c r="A8" s="12" t="s">
        <v>3</v>
      </c>
      <c r="B8" s="14">
        <v>46669</v>
      </c>
    </row>
    <row r="9" spans="1:4" x14ac:dyDescent="0.3">
      <c r="A9" s="12" t="s">
        <v>48</v>
      </c>
      <c r="B9" s="15">
        <v>1078.42</v>
      </c>
    </row>
    <row r="10" spans="1:4" ht="57.6" x14ac:dyDescent="0.3">
      <c r="A10" s="12" t="s">
        <v>49</v>
      </c>
      <c r="B10" s="13">
        <v>3</v>
      </c>
    </row>
    <row r="11" spans="1:4" x14ac:dyDescent="0.3">
      <c r="A11" s="12" t="s">
        <v>2</v>
      </c>
      <c r="B11" s="13">
        <v>33.333333333333336</v>
      </c>
    </row>
    <row r="12" spans="1:4" ht="43.2" x14ac:dyDescent="0.3">
      <c r="A12" s="12" t="s">
        <v>1</v>
      </c>
      <c r="B12" s="13" t="s">
        <v>42</v>
      </c>
    </row>
    <row r="13" spans="1:4" x14ac:dyDescent="0.3">
      <c r="B13" s="13"/>
    </row>
    <row r="14" spans="1:4" ht="43.2" x14ac:dyDescent="0.3">
      <c r="A14" s="17" t="s">
        <v>94</v>
      </c>
      <c r="B14" s="17" t="s">
        <v>95</v>
      </c>
      <c r="C14" s="17" t="s">
        <v>96</v>
      </c>
      <c r="D14" s="17" t="s">
        <v>97</v>
      </c>
    </row>
    <row r="15" spans="1:4" x14ac:dyDescent="0.3">
      <c r="A15">
        <v>2024</v>
      </c>
      <c r="B15" s="16">
        <v>82</v>
      </c>
      <c r="C15" s="16">
        <v>82</v>
      </c>
      <c r="D15" s="16">
        <v>996</v>
      </c>
    </row>
    <row r="16" spans="1:4" x14ac:dyDescent="0.3">
      <c r="A16">
        <v>2025</v>
      </c>
      <c r="B16" s="16">
        <v>359</v>
      </c>
      <c r="C16" s="16">
        <v>441</v>
      </c>
      <c r="D16" s="16">
        <v>637</v>
      </c>
    </row>
    <row r="17" spans="1:4" x14ac:dyDescent="0.3">
      <c r="A17">
        <v>2026</v>
      </c>
      <c r="B17" s="16">
        <v>359</v>
      </c>
      <c r="C17" s="16">
        <v>800</v>
      </c>
      <c r="D17" s="16">
        <v>278</v>
      </c>
    </row>
    <row r="18" spans="1:4" x14ac:dyDescent="0.3">
      <c r="A18">
        <v>2027</v>
      </c>
      <c r="B18" s="16">
        <v>278</v>
      </c>
      <c r="C18" s="16">
        <v>1078</v>
      </c>
      <c r="D18" s="1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39</vt:i4>
      </vt:variant>
    </vt:vector>
  </HeadingPairs>
  <TitlesOfParts>
    <vt:vector size="39" baseType="lpstr">
      <vt:lpstr>Data</vt:lpstr>
      <vt:lpstr>C21200</vt:lpstr>
      <vt:lpstr>C40100</vt:lpstr>
      <vt:lpstr>C40101</vt:lpstr>
      <vt:lpstr>C40300</vt:lpstr>
      <vt:lpstr>C40400</vt:lpstr>
      <vt:lpstr>C40900</vt:lpstr>
      <vt:lpstr>C40901</vt:lpstr>
      <vt:lpstr>C41001</vt:lpstr>
      <vt:lpstr>C41003</vt:lpstr>
      <vt:lpstr>C30100</vt:lpstr>
      <vt:lpstr>C30101</vt:lpstr>
      <vt:lpstr>C30200</vt:lpstr>
      <vt:lpstr>C30201</vt:lpstr>
      <vt:lpstr>C30202</vt:lpstr>
      <vt:lpstr>C30203</vt:lpstr>
      <vt:lpstr>C30204</vt:lpstr>
      <vt:lpstr>C30205</vt:lpstr>
      <vt:lpstr>C30206</vt:lpstr>
      <vt:lpstr>C30300</vt:lpstr>
      <vt:lpstr>C30301</vt:lpstr>
      <vt:lpstr>C30302</vt:lpstr>
      <vt:lpstr>C30500</vt:lpstr>
      <vt:lpstr>C30501</vt:lpstr>
      <vt:lpstr>C31100</vt:lpstr>
      <vt:lpstr>C40102</vt:lpstr>
      <vt:lpstr>C41100</vt:lpstr>
      <vt:lpstr>C21201</vt:lpstr>
      <vt:lpstr>C30400</vt:lpstr>
      <vt:lpstr>C30502</vt:lpstr>
      <vt:lpstr>C30700</vt:lpstr>
      <vt:lpstr>C30900</vt:lpstr>
      <vt:lpstr>C31101</vt:lpstr>
      <vt:lpstr>C40500</vt:lpstr>
      <vt:lpstr>C40501</vt:lpstr>
      <vt:lpstr>C40700</vt:lpstr>
      <vt:lpstr>C40701</vt:lpstr>
      <vt:lpstr>C40702</vt:lpstr>
      <vt:lpstr>C41002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Fanny Migné</dc:creator>
  <cp:lastModifiedBy>alexis crozier</cp:lastModifiedBy>
  <dcterms:created xsi:type="dcterms:W3CDTF">2025-01-15T14:01:11Z</dcterms:created>
  <dcterms:modified xsi:type="dcterms:W3CDTF">2025-01-21T12:26:21Z</dcterms:modified>
</cp:coreProperties>
</file>